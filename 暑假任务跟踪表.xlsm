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ao2021-my.sharepoint.com/personal/kyle_mao2021_onmicrosoft_com/Documents/My Documents/暑假任务跟踪表/"/>
    </mc:Choice>
  </mc:AlternateContent>
  <xr:revisionPtr revIDLastSave="49" documentId="14_{C567D38C-6EE3-4E4A-9321-A29E13290E6F}" xr6:coauthVersionLast="47" xr6:coauthVersionMax="47" xr10:uidLastSave="{02BFD5FF-CB79-4077-8D19-1D4F8BAFE18A}"/>
  <bookViews>
    <workbookView xWindow="-110" yWindow="-110" windowWidth="25820" windowHeight="15500" xr2:uid="{1F734ADD-3C23-4275-B183-0DB65E09A3F9}"/>
  </bookViews>
  <sheets>
    <sheet name="7.7" sheetId="6" r:id="rId1"/>
    <sheet name="7.6" sheetId="5" r:id="rId2"/>
    <sheet name="7.5" sheetId="4" r:id="rId3"/>
    <sheet name="7.4" sheetId="2" r:id="rId4"/>
    <sheet name="7.3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6" i="6" l="1"/>
  <c r="G26" i="6"/>
  <c r="I25" i="6"/>
  <c r="G25" i="6"/>
  <c r="I24" i="6"/>
  <c r="G24" i="6"/>
  <c r="I22" i="6"/>
  <c r="G22" i="6"/>
  <c r="I21" i="6"/>
  <c r="G21" i="6"/>
  <c r="I19" i="6"/>
  <c r="G19" i="6"/>
  <c r="I18" i="6"/>
  <c r="G18" i="6"/>
  <c r="I17" i="6"/>
  <c r="G17" i="6"/>
  <c r="I15" i="6"/>
  <c r="G15" i="6"/>
  <c r="I14" i="6"/>
  <c r="G14" i="6"/>
  <c r="I12" i="6"/>
  <c r="G12" i="6"/>
  <c r="I11" i="6"/>
  <c r="G11" i="6"/>
  <c r="I9" i="6"/>
  <c r="G9" i="6"/>
  <c r="I8" i="6"/>
  <c r="G8" i="6"/>
  <c r="G6" i="6"/>
  <c r="I5" i="6"/>
  <c r="G5" i="6"/>
  <c r="I4" i="6"/>
  <c r="G4" i="6"/>
  <c r="I3" i="6"/>
  <c r="G3" i="6"/>
  <c r="G6" i="5"/>
  <c r="I26" i="5"/>
  <c r="G26" i="5"/>
  <c r="I25" i="5"/>
  <c r="G25" i="5"/>
  <c r="I24" i="5"/>
  <c r="G24" i="5"/>
  <c r="I22" i="5"/>
  <c r="G22" i="5"/>
  <c r="I21" i="5"/>
  <c r="G21" i="5"/>
  <c r="I19" i="5"/>
  <c r="G19" i="5"/>
  <c r="I18" i="5"/>
  <c r="G18" i="5"/>
  <c r="I17" i="5"/>
  <c r="G17" i="5"/>
  <c r="I15" i="5"/>
  <c r="G15" i="5"/>
  <c r="I14" i="5"/>
  <c r="G14" i="5"/>
  <c r="I12" i="5"/>
  <c r="G12" i="5"/>
  <c r="I11" i="5"/>
  <c r="G11" i="5"/>
  <c r="I9" i="5"/>
  <c r="G9" i="5"/>
  <c r="I8" i="5"/>
  <c r="G8" i="5"/>
  <c r="I5" i="5"/>
  <c r="G5" i="5"/>
  <c r="I4" i="5"/>
  <c r="G4" i="5"/>
  <c r="I3" i="5"/>
  <c r="G3" i="5"/>
  <c r="G13" i="4"/>
  <c r="I13" i="4"/>
  <c r="I11" i="4"/>
  <c r="G11" i="4"/>
  <c r="I25" i="4"/>
  <c r="G25" i="4"/>
  <c r="I24" i="4"/>
  <c r="G24" i="4"/>
  <c r="I23" i="4"/>
  <c r="G23" i="4"/>
  <c r="I21" i="4"/>
  <c r="G21" i="4"/>
  <c r="I20" i="4"/>
  <c r="G20" i="4"/>
  <c r="I18" i="4"/>
  <c r="G18" i="4"/>
  <c r="I17" i="4"/>
  <c r="G17" i="4"/>
  <c r="I16" i="4"/>
  <c r="G16" i="4"/>
  <c r="I14" i="4"/>
  <c r="G14" i="4"/>
  <c r="I10" i="4"/>
  <c r="G10" i="4"/>
  <c r="I8" i="4"/>
  <c r="G8" i="4"/>
  <c r="I7" i="4"/>
  <c r="G7" i="4"/>
  <c r="I5" i="4"/>
  <c r="G5" i="4"/>
  <c r="I4" i="4"/>
  <c r="G4" i="4"/>
  <c r="I3" i="4"/>
  <c r="G3" i="4"/>
  <c r="I22" i="2"/>
  <c r="G22" i="2"/>
  <c r="I21" i="2"/>
  <c r="G21" i="2"/>
  <c r="I20" i="2"/>
  <c r="G20" i="2"/>
  <c r="I18" i="2"/>
  <c r="G18" i="2"/>
  <c r="I17" i="2"/>
  <c r="G17" i="2"/>
  <c r="I15" i="2"/>
  <c r="G15" i="2"/>
  <c r="I14" i="2"/>
  <c r="G14" i="2"/>
  <c r="I13" i="2"/>
  <c r="G13" i="2"/>
  <c r="I11" i="2"/>
  <c r="G11" i="2"/>
  <c r="I10" i="2"/>
  <c r="G10" i="2"/>
  <c r="I8" i="2"/>
  <c r="G8" i="2"/>
  <c r="I7" i="2"/>
  <c r="G7" i="2"/>
  <c r="I5" i="2"/>
  <c r="G5" i="2"/>
  <c r="I4" i="2"/>
  <c r="G4" i="2"/>
  <c r="I3" i="2"/>
  <c r="G3" i="2"/>
  <c r="I22" i="1"/>
  <c r="I21" i="1"/>
  <c r="I20" i="1"/>
  <c r="I18" i="1"/>
  <c r="I17" i="1"/>
  <c r="I15" i="1"/>
  <c r="I14" i="1"/>
  <c r="I13" i="1"/>
  <c r="I11" i="1"/>
  <c r="G4" i="1"/>
  <c r="G5" i="1"/>
  <c r="G7" i="1"/>
  <c r="G8" i="1"/>
  <c r="G10" i="1"/>
  <c r="G11" i="1"/>
  <c r="G13" i="1"/>
  <c r="G14" i="1"/>
  <c r="G15" i="1"/>
  <c r="G17" i="1"/>
  <c r="G18" i="1"/>
  <c r="G20" i="1"/>
  <c r="G21" i="1"/>
  <c r="G22" i="1"/>
  <c r="G3" i="1"/>
  <c r="I5" i="1"/>
  <c r="I4" i="1"/>
  <c r="I7" i="1"/>
  <c r="I8" i="1"/>
  <c r="I10" i="1"/>
  <c r="I3" i="1"/>
  <c r="K2" i="6" l="1"/>
  <c r="K2" i="5"/>
  <c r="K2" i="4"/>
  <c r="K2" i="2"/>
  <c r="K2" i="1"/>
</calcChain>
</file>

<file path=xl/sharedStrings.xml><?xml version="1.0" encoding="utf-8"?>
<sst xmlns="http://schemas.openxmlformats.org/spreadsheetml/2006/main" count="187" uniqueCount="45">
  <si>
    <t>类别</t>
    <phoneticPr fontId="1" type="noConversion"/>
  </si>
  <si>
    <t>项目</t>
    <phoneticPr fontId="1" type="noConversion"/>
  </si>
  <si>
    <t>进度</t>
    <phoneticPr fontId="1" type="noConversion"/>
  </si>
  <si>
    <t>权重</t>
    <phoneticPr fontId="1" type="noConversion"/>
  </si>
  <si>
    <t>初始值</t>
    <phoneticPr fontId="1" type="noConversion"/>
  </si>
  <si>
    <t>终止值</t>
    <phoneticPr fontId="1" type="noConversion"/>
  </si>
  <si>
    <t>百分比</t>
    <phoneticPr fontId="1" type="noConversion"/>
  </si>
  <si>
    <t>语文</t>
    <phoneticPr fontId="1" type="noConversion"/>
  </si>
  <si>
    <t>数学</t>
    <phoneticPr fontId="1" type="noConversion"/>
  </si>
  <si>
    <t>英语</t>
    <phoneticPr fontId="1" type="noConversion"/>
  </si>
  <si>
    <t>昨日进度</t>
    <phoneticPr fontId="1" type="noConversion"/>
  </si>
  <si>
    <t>今日成就</t>
    <phoneticPr fontId="1" type="noConversion"/>
  </si>
  <si>
    <t>成就值</t>
    <phoneticPr fontId="1" type="noConversion"/>
  </si>
  <si>
    <r>
      <t>暑假作业</t>
    </r>
    <r>
      <rPr>
        <sz val="14"/>
        <color theme="5" tint="-0.499984740745262"/>
        <rFont val="等线"/>
        <family val="3"/>
        <charset val="134"/>
        <scheme val="minor"/>
      </rPr>
      <t>(13)</t>
    </r>
    <phoneticPr fontId="1" type="noConversion"/>
  </si>
  <si>
    <r>
      <t>模拟卷</t>
    </r>
    <r>
      <rPr>
        <sz val="14"/>
        <color theme="5" tint="-0.499984740745262"/>
        <rFont val="等线"/>
        <family val="3"/>
        <charset val="134"/>
        <scheme val="minor"/>
      </rPr>
      <t>(38)</t>
    </r>
    <phoneticPr fontId="1" type="noConversion"/>
  </si>
  <si>
    <r>
      <t>暑假作业第一阶段</t>
    </r>
    <r>
      <rPr>
        <sz val="14"/>
        <color theme="8" tint="-0.499984740745262"/>
        <rFont val="等线"/>
        <family val="3"/>
        <charset val="134"/>
        <scheme val="minor"/>
      </rPr>
      <t>(8)</t>
    </r>
    <phoneticPr fontId="1" type="noConversion"/>
  </si>
  <si>
    <r>
      <t>模拟卷</t>
    </r>
    <r>
      <rPr>
        <sz val="14"/>
        <color theme="8" tint="-0.499984740745262"/>
        <rFont val="等线"/>
        <family val="3"/>
        <charset val="134"/>
        <scheme val="minor"/>
      </rPr>
      <t>(38)</t>
    </r>
    <phoneticPr fontId="1" type="noConversion"/>
  </si>
  <si>
    <r>
      <t>暑假作业</t>
    </r>
    <r>
      <rPr>
        <sz val="14"/>
        <color theme="9" tint="-0.499984740745262"/>
        <rFont val="等线"/>
        <family val="3"/>
        <charset val="134"/>
        <scheme val="minor"/>
      </rPr>
      <t>(12)</t>
    </r>
    <phoneticPr fontId="1" type="noConversion"/>
  </si>
  <si>
    <r>
      <t>阅读</t>
    </r>
    <r>
      <rPr>
        <sz val="14"/>
        <color theme="9" tint="-0.499984740745262"/>
        <rFont val="等线"/>
        <family val="3"/>
        <charset val="134"/>
        <scheme val="minor"/>
      </rPr>
      <t>(31)</t>
    </r>
    <phoneticPr fontId="1" type="noConversion"/>
  </si>
  <si>
    <t>物理</t>
    <phoneticPr fontId="1" type="noConversion"/>
  </si>
  <si>
    <t>暑假作业</t>
    <phoneticPr fontId="1" type="noConversion"/>
  </si>
  <si>
    <t>模拟卷(28)</t>
    <phoneticPr fontId="1" type="noConversion"/>
  </si>
  <si>
    <t>化学</t>
    <phoneticPr fontId="1" type="noConversion"/>
  </si>
  <si>
    <t>模拟卷</t>
    <phoneticPr fontId="1" type="noConversion"/>
  </si>
  <si>
    <t>生物</t>
    <phoneticPr fontId="1" type="noConversion"/>
  </si>
  <si>
    <t>53B版 细胞增殖</t>
    <phoneticPr fontId="1" type="noConversion"/>
  </si>
  <si>
    <r>
      <t>53B版 机械能</t>
    </r>
    <r>
      <rPr>
        <sz val="14"/>
        <color theme="7" tint="-0.499984740745262"/>
        <rFont val="等线"/>
        <family val="3"/>
        <charset val="134"/>
        <scheme val="minor"/>
      </rPr>
      <t>(91-107)</t>
    </r>
    <phoneticPr fontId="1" type="noConversion"/>
  </si>
  <si>
    <t>暑假作业(8)</t>
    <phoneticPr fontId="1" type="noConversion"/>
  </si>
  <si>
    <t xml:space="preserve">                                                                            暑假任务跟踪表</t>
    <phoneticPr fontId="1" type="noConversion"/>
  </si>
  <si>
    <t>更新时间</t>
    <phoneticPr fontId="1" type="noConversion"/>
  </si>
  <si>
    <t>快捷操作</t>
    <phoneticPr fontId="1" type="noConversion"/>
  </si>
  <si>
    <r>
      <t>练字</t>
    </r>
    <r>
      <rPr>
        <sz val="14"/>
        <color theme="5" tint="-0.499984740745262"/>
        <rFont val="等线"/>
        <family val="3"/>
        <charset val="134"/>
        <scheme val="minor"/>
      </rPr>
      <t>(65)</t>
    </r>
    <phoneticPr fontId="1" type="noConversion"/>
  </si>
  <si>
    <r>
      <t>模拟卷</t>
    </r>
    <r>
      <rPr>
        <sz val="14"/>
        <color rgb="FF7030A0"/>
        <rFont val="等线"/>
        <family val="3"/>
        <charset val="134"/>
        <scheme val="minor"/>
      </rPr>
      <t>(28)</t>
    </r>
    <phoneticPr fontId="1" type="noConversion"/>
  </si>
  <si>
    <r>
      <t>模拟卷</t>
    </r>
    <r>
      <rPr>
        <sz val="14"/>
        <color theme="7" tint="-0.499984740745262"/>
        <rFont val="等线"/>
        <family val="3"/>
        <charset val="134"/>
        <scheme val="minor"/>
      </rPr>
      <t>(28)</t>
    </r>
    <phoneticPr fontId="1" type="noConversion"/>
  </si>
  <si>
    <r>
      <t>53B版 细胞增殖</t>
    </r>
    <r>
      <rPr>
        <sz val="14"/>
        <color rgb="FF159F98"/>
        <rFont val="等线"/>
        <family val="3"/>
        <charset val="134"/>
        <scheme val="minor"/>
      </rPr>
      <t>(72-108)</t>
    </r>
    <phoneticPr fontId="1" type="noConversion"/>
  </si>
  <si>
    <r>
      <t>模拟卷</t>
    </r>
    <r>
      <rPr>
        <sz val="14"/>
        <color rgb="FF159F98"/>
        <rFont val="等线"/>
        <family val="3"/>
        <charset val="134"/>
        <scheme val="minor"/>
      </rPr>
      <t>(0-28)</t>
    </r>
    <phoneticPr fontId="1" type="noConversion"/>
  </si>
  <si>
    <r>
      <t>暑假作业</t>
    </r>
    <r>
      <rPr>
        <sz val="14"/>
        <color theme="7" tint="-0.499984740745262"/>
        <rFont val="等线"/>
        <family val="3"/>
        <charset val="134"/>
        <scheme val="minor"/>
      </rPr>
      <t>(10)</t>
    </r>
    <phoneticPr fontId="1" type="noConversion"/>
  </si>
  <si>
    <r>
      <t>暑假作业</t>
    </r>
    <r>
      <rPr>
        <sz val="14"/>
        <color rgb="FF7030A0"/>
        <rFont val="等线"/>
        <family val="3"/>
        <charset val="134"/>
        <scheme val="minor"/>
      </rPr>
      <t>(10)</t>
    </r>
    <phoneticPr fontId="1" type="noConversion"/>
  </si>
  <si>
    <r>
      <t>暑假作业</t>
    </r>
    <r>
      <rPr>
        <sz val="14"/>
        <color rgb="FF159F98"/>
        <rFont val="等线"/>
        <family val="3"/>
        <charset val="134"/>
        <scheme val="minor"/>
      </rPr>
      <t>(10)</t>
    </r>
    <phoneticPr fontId="1" type="noConversion"/>
  </si>
  <si>
    <t>读后续写素材整理计划</t>
    <phoneticPr fontId="1" type="noConversion"/>
  </si>
  <si>
    <r>
      <t>模拟卷</t>
    </r>
    <r>
      <rPr>
        <sz val="14"/>
        <color rgb="FF159F98"/>
        <rFont val="等线"/>
        <family val="3"/>
        <charset val="134"/>
        <scheme val="minor"/>
      </rPr>
      <t>(28)</t>
    </r>
    <phoneticPr fontId="1" type="noConversion"/>
  </si>
  <si>
    <t>#NaN#</t>
    <phoneticPr fontId="1" type="noConversion"/>
  </si>
  <si>
    <t>听力：专项训练部分</t>
    <phoneticPr fontId="1" type="noConversion"/>
  </si>
  <si>
    <r>
      <t>模拟卷</t>
    </r>
    <r>
      <rPr>
        <sz val="14"/>
        <color theme="9" tint="-0.499984740745262"/>
        <rFont val="等线"/>
        <family val="3"/>
        <charset val="134"/>
        <scheme val="minor"/>
      </rPr>
      <t>(38)</t>
    </r>
    <phoneticPr fontId="1" type="noConversion"/>
  </si>
  <si>
    <t>《三体Ⅱ》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</si>
</sst>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2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/>
      <name val="等线"/>
      <family val="3"/>
      <charset val="134"/>
      <scheme val="minor"/>
    </font>
    <font>
      <sz val="16"/>
      <color theme="0" tint="-0.499984740745262"/>
      <name val="等线"/>
      <family val="3"/>
      <charset val="134"/>
      <scheme val="minor"/>
    </font>
    <font>
      <sz val="11"/>
      <color theme="0" tint="-0.499984740745262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sz val="16"/>
      <color theme="5" tint="-0.499984740745262"/>
      <name val="等线"/>
      <family val="3"/>
      <charset val="134"/>
      <scheme val="minor"/>
    </font>
    <font>
      <sz val="14"/>
      <color theme="5" tint="-0.499984740745262"/>
      <name val="等线"/>
      <family val="3"/>
      <charset val="134"/>
      <scheme val="minor"/>
    </font>
    <font>
      <sz val="16"/>
      <color theme="8" tint="-0.499984740745262"/>
      <name val="等线"/>
      <family val="3"/>
      <charset val="134"/>
      <scheme val="minor"/>
    </font>
    <font>
      <sz val="16"/>
      <color theme="9" tint="-0.499984740745262"/>
      <name val="等线"/>
      <family val="3"/>
      <charset val="134"/>
      <scheme val="minor"/>
    </font>
    <font>
      <sz val="14"/>
      <color theme="8" tint="-0.499984740745262"/>
      <name val="等线"/>
      <family val="3"/>
      <charset val="134"/>
      <scheme val="minor"/>
    </font>
    <font>
      <sz val="14"/>
      <color theme="9" tint="-0.499984740745262"/>
      <name val="等线"/>
      <family val="3"/>
      <charset val="134"/>
      <scheme val="minor"/>
    </font>
    <font>
      <sz val="16"/>
      <color theme="7" tint="-0.499984740745262"/>
      <name val="等线"/>
      <family val="3"/>
      <charset val="134"/>
      <scheme val="minor"/>
    </font>
    <font>
      <sz val="16"/>
      <color rgb="FF7030A0"/>
      <name val="等线"/>
      <family val="3"/>
      <charset val="134"/>
      <scheme val="minor"/>
    </font>
    <font>
      <sz val="16"/>
      <color rgb="FF159F98"/>
      <name val="等线"/>
      <family val="3"/>
      <charset val="134"/>
      <scheme val="minor"/>
    </font>
    <font>
      <sz val="14"/>
      <color theme="7" tint="-0.49998474074526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8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36"/>
      <color theme="1"/>
      <name val="等线"/>
      <family val="2"/>
      <charset val="134"/>
      <scheme val="minor"/>
    </font>
    <font>
      <sz val="14"/>
      <color rgb="FF7030A0"/>
      <name val="等线"/>
      <family val="3"/>
      <charset val="134"/>
      <scheme val="minor"/>
    </font>
    <font>
      <sz val="14"/>
      <color rgb="FF159F98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CC5ED"/>
        <bgColor indexed="64"/>
      </patternFill>
    </fill>
    <fill>
      <patternFill patternType="solid">
        <fgColor rgb="FFD1F9F7"/>
        <bgColor indexed="64"/>
      </pattern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</fills>
  <borders count="25">
    <border>
      <left/>
      <right/>
      <top/>
      <bottom/>
      <diagonal/>
    </border>
    <border>
      <left style="thin">
        <color theme="1"/>
      </left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 style="thin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1"/>
      </bottom>
      <diagonal/>
    </border>
    <border>
      <left style="thin">
        <color theme="0" tint="-0.24994659260841701"/>
      </left>
      <right style="thin">
        <color theme="1"/>
      </right>
      <top style="thin">
        <color theme="0" tint="-0.2499465926084170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1"/>
      </left>
      <right style="thin">
        <color theme="0" tint="-0.24994659260841701"/>
      </right>
      <top/>
      <bottom/>
      <diagonal/>
    </border>
    <border>
      <left style="thin">
        <color theme="1"/>
      </left>
      <right style="thin">
        <color theme="0" tint="-0.24994659260841701"/>
      </right>
      <top/>
      <bottom style="thin">
        <color theme="1"/>
      </bottom>
      <diagonal/>
    </border>
    <border>
      <left style="thin">
        <color theme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>
      <alignment vertical="center"/>
    </xf>
  </cellStyleXfs>
  <cellXfs count="105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17" fillId="0" borderId="0" xfId="0" applyFont="1" applyBorder="1">
      <alignment vertical="center"/>
    </xf>
    <xf numFmtId="0" fontId="4" fillId="0" borderId="0" xfId="0" applyFont="1" applyBorder="1">
      <alignment vertical="center"/>
    </xf>
    <xf numFmtId="0" fontId="0" fillId="0" borderId="0" xfId="0" applyBorder="1">
      <alignment vertical="center"/>
    </xf>
    <xf numFmtId="58" fontId="18" fillId="0" borderId="0" xfId="0" applyNumberFormat="1" applyFont="1" applyAlignment="1">
      <alignment horizontal="center" vertical="center"/>
    </xf>
    <xf numFmtId="20" fontId="1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2" fillId="0" borderId="5" xfId="0" applyFont="1" applyBorder="1" applyAlignment="1">
      <alignment horizontal="right" vertical="center"/>
    </xf>
    <xf numFmtId="0" fontId="3" fillId="0" borderId="8" xfId="0" applyFont="1" applyBorder="1">
      <alignment vertical="center"/>
    </xf>
    <xf numFmtId="0" fontId="2" fillId="0" borderId="8" xfId="0" applyFont="1" applyBorder="1" applyAlignment="1">
      <alignment horizontal="right" vertical="center"/>
    </xf>
    <xf numFmtId="0" fontId="0" fillId="0" borderId="10" xfId="0" applyBorder="1">
      <alignment vertical="center"/>
    </xf>
    <xf numFmtId="0" fontId="4" fillId="0" borderId="10" xfId="0" applyFont="1" applyBorder="1">
      <alignment vertical="center"/>
    </xf>
    <xf numFmtId="0" fontId="2" fillId="0" borderId="2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12" fillId="0" borderId="5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4" fillId="0" borderId="5" xfId="0" applyFont="1" applyBorder="1" applyAlignment="1">
      <alignment vertical="center"/>
    </xf>
    <xf numFmtId="0" fontId="14" fillId="0" borderId="8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9" fontId="3" fillId="0" borderId="5" xfId="0" applyNumberFormat="1" applyFont="1" applyBorder="1" applyAlignment="1">
      <alignment vertical="center"/>
    </xf>
    <xf numFmtId="176" fontId="5" fillId="0" borderId="6" xfId="0" applyNumberFormat="1" applyFont="1" applyBorder="1" applyAlignment="1">
      <alignment vertical="center"/>
    </xf>
    <xf numFmtId="0" fontId="3" fillId="0" borderId="8" xfId="0" applyFont="1" applyBorder="1" applyAlignment="1">
      <alignment vertical="center"/>
    </xf>
    <xf numFmtId="9" fontId="3" fillId="0" borderId="8" xfId="0" applyNumberFormat="1" applyFont="1" applyBorder="1" applyAlignment="1">
      <alignment vertical="center"/>
    </xf>
    <xf numFmtId="176" fontId="5" fillId="0" borderId="9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Fill="1">
      <alignment vertical="center"/>
    </xf>
    <xf numFmtId="58" fontId="18" fillId="0" borderId="0" xfId="0" applyNumberFormat="1" applyFont="1" applyFill="1" applyAlignment="1">
      <alignment horizontal="center" vertical="center"/>
    </xf>
    <xf numFmtId="20" fontId="18" fillId="0" borderId="0" xfId="0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0" fontId="18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9" fontId="3" fillId="0" borderId="0" xfId="0" applyNumberFormat="1" applyFont="1" applyFill="1" applyBorder="1" applyAlignment="1">
      <alignment vertical="center"/>
    </xf>
    <xf numFmtId="176" fontId="5" fillId="0" borderId="0" xfId="0" applyNumberFormat="1" applyFont="1" applyFill="1" applyBorder="1" applyAlignment="1">
      <alignment vertical="center"/>
    </xf>
    <xf numFmtId="0" fontId="2" fillId="0" borderId="11" xfId="0" applyFont="1" applyFill="1" applyBorder="1" applyAlignment="1">
      <alignment horizontal="center" vertical="center"/>
    </xf>
    <xf numFmtId="0" fontId="3" fillId="0" borderId="12" xfId="0" applyFont="1" applyFill="1" applyBorder="1">
      <alignment vertical="center"/>
    </xf>
    <xf numFmtId="0" fontId="2" fillId="0" borderId="12" xfId="0" applyFont="1" applyFill="1" applyBorder="1" applyAlignment="1">
      <alignment horizontal="right" vertical="center"/>
    </xf>
    <xf numFmtId="0" fontId="3" fillId="0" borderId="12" xfId="0" applyFont="1" applyFill="1" applyBorder="1" applyAlignment="1">
      <alignment vertical="center"/>
    </xf>
    <xf numFmtId="9" fontId="3" fillId="0" borderId="12" xfId="0" applyNumberFormat="1" applyFont="1" applyFill="1" applyBorder="1" applyAlignment="1">
      <alignment vertical="center"/>
    </xf>
    <xf numFmtId="176" fontId="5" fillId="0" borderId="13" xfId="0" applyNumberFormat="1" applyFont="1" applyFill="1" applyBorder="1" applyAlignment="1">
      <alignment vertical="center"/>
    </xf>
    <xf numFmtId="0" fontId="8" fillId="0" borderId="12" xfId="0" applyFont="1" applyFill="1" applyBorder="1" applyAlignment="1">
      <alignment vertical="center"/>
    </xf>
    <xf numFmtId="0" fontId="9" fillId="0" borderId="12" xfId="0" applyFont="1" applyFill="1" applyBorder="1" applyAlignment="1">
      <alignment vertical="center"/>
    </xf>
    <xf numFmtId="0" fontId="12" fillId="0" borderId="12" xfId="0" applyFont="1" applyFill="1" applyBorder="1" applyAlignment="1">
      <alignment vertical="center"/>
    </xf>
    <xf numFmtId="0" fontId="13" fillId="0" borderId="12" xfId="0" applyFont="1" applyFill="1" applyBorder="1" applyAlignment="1">
      <alignment vertical="center"/>
    </xf>
    <xf numFmtId="176" fontId="3" fillId="0" borderId="5" xfId="0" applyNumberFormat="1" applyFont="1" applyBorder="1" applyAlignment="1">
      <alignment vertical="center"/>
    </xf>
    <xf numFmtId="0" fontId="2" fillId="0" borderId="5" xfId="0" applyNumberFormat="1" applyFont="1" applyBorder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2" fillId="0" borderId="14" xfId="0" applyFont="1" applyFill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16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3" fillId="8" borderId="5" xfId="0" applyNumberFormat="1" applyFont="1" applyFill="1" applyBorder="1" applyAlignment="1">
      <alignment vertical="center"/>
    </xf>
    <xf numFmtId="0" fontId="22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3" fillId="0" borderId="15" xfId="0" applyFont="1" applyBorder="1">
      <alignment vertical="center"/>
    </xf>
    <xf numFmtId="0" fontId="2" fillId="0" borderId="15" xfId="0" applyFont="1" applyBorder="1" applyAlignment="1">
      <alignment horizontal="right" vertical="center"/>
    </xf>
    <xf numFmtId="0" fontId="3" fillId="0" borderId="15" xfId="0" applyFont="1" applyBorder="1" applyAlignment="1">
      <alignment vertical="center"/>
    </xf>
    <xf numFmtId="176" fontId="5" fillId="0" borderId="22" xfId="0" applyNumberFormat="1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176" fontId="19" fillId="0" borderId="0" xfId="0" applyNumberFormat="1" applyFont="1" applyAlignment="1">
      <alignment horizontal="center" vertical="center"/>
    </xf>
    <xf numFmtId="0" fontId="19" fillId="0" borderId="0" xfId="0" applyNumberFormat="1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D1F9F7"/>
      <color rgb="FFDCC5ED"/>
      <color rgb="FF159F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8</xdr:row>
      <xdr:rowOff>19050</xdr:rowOff>
    </xdr:from>
    <xdr:to>
      <xdr:col>10</xdr:col>
      <xdr:colOff>723900</xdr:colOff>
      <xdr:row>9</xdr:row>
      <xdr:rowOff>0</xdr:rowOff>
    </xdr:to>
    <xdr:sp macro="[0]!unhide" textlink="">
      <xdr:nvSpPr>
        <xdr:cNvPr id="2" name="矩形 1">
          <a:extLst>
            <a:ext uri="{FF2B5EF4-FFF2-40B4-BE49-F238E27FC236}">
              <a16:creationId xmlns:a16="http://schemas.microsoft.com/office/drawing/2014/main" id="{50978032-3294-4108-A84B-E853626A889A}"/>
            </a:ext>
          </a:extLst>
        </xdr:cNvPr>
        <xdr:cNvSpPr/>
      </xdr:nvSpPr>
      <xdr:spPr>
        <a:xfrm>
          <a:off x="14452600" y="24066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8</xdr:row>
      <xdr:rowOff>12700</xdr:rowOff>
    </xdr:from>
    <xdr:to>
      <xdr:col>12</xdr:col>
      <xdr:colOff>0</xdr:colOff>
      <xdr:row>8</xdr:row>
      <xdr:rowOff>298450</xdr:rowOff>
    </xdr:to>
    <xdr:sp macro="[0]!hide" textlink="">
      <xdr:nvSpPr>
        <xdr:cNvPr id="3" name="矩形 2">
          <a:extLst>
            <a:ext uri="{FF2B5EF4-FFF2-40B4-BE49-F238E27FC236}">
              <a16:creationId xmlns:a16="http://schemas.microsoft.com/office/drawing/2014/main" id="{EADF5D01-DD44-4672-A59D-C422C345625F}"/>
            </a:ext>
          </a:extLst>
        </xdr:cNvPr>
        <xdr:cNvSpPr/>
      </xdr:nvSpPr>
      <xdr:spPr>
        <a:xfrm>
          <a:off x="15157450" y="24003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25400</xdr:colOff>
      <xdr:row>10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F278D51B-E711-4E36-B67F-7C785853DDF4}"/>
            </a:ext>
          </a:extLst>
        </xdr:cNvPr>
        <xdr:cNvSpPr/>
      </xdr:nvSpPr>
      <xdr:spPr>
        <a:xfrm>
          <a:off x="14427200" y="27686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10</xdr:row>
      <xdr:rowOff>209550</xdr:rowOff>
    </xdr:from>
    <xdr:to>
      <xdr:col>12</xdr:col>
      <xdr:colOff>577850</xdr:colOff>
      <xdr:row>21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131F1A28-A137-4225-A9A4-005BB8F2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978150"/>
          <a:ext cx="2946400" cy="2946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8</xdr:row>
      <xdr:rowOff>19050</xdr:rowOff>
    </xdr:from>
    <xdr:to>
      <xdr:col>10</xdr:col>
      <xdr:colOff>723900</xdr:colOff>
      <xdr:row>9</xdr:row>
      <xdr:rowOff>0</xdr:rowOff>
    </xdr:to>
    <xdr:sp macro="[0]!unhide" textlink="">
      <xdr:nvSpPr>
        <xdr:cNvPr id="2" name="矩形 1">
          <a:extLst>
            <a:ext uri="{FF2B5EF4-FFF2-40B4-BE49-F238E27FC236}">
              <a16:creationId xmlns:a16="http://schemas.microsoft.com/office/drawing/2014/main" id="{F62E3281-92B7-4912-BF71-3FC83B8DA84E}"/>
            </a:ext>
          </a:extLst>
        </xdr:cNvPr>
        <xdr:cNvSpPr/>
      </xdr:nvSpPr>
      <xdr:spPr>
        <a:xfrm>
          <a:off x="14585950" y="2089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8</xdr:row>
      <xdr:rowOff>12700</xdr:rowOff>
    </xdr:from>
    <xdr:to>
      <xdr:col>12</xdr:col>
      <xdr:colOff>0</xdr:colOff>
      <xdr:row>8</xdr:row>
      <xdr:rowOff>298450</xdr:rowOff>
    </xdr:to>
    <xdr:sp macro="[0]!hide" textlink="">
      <xdr:nvSpPr>
        <xdr:cNvPr id="3" name="矩形 2">
          <a:extLst>
            <a:ext uri="{FF2B5EF4-FFF2-40B4-BE49-F238E27FC236}">
              <a16:creationId xmlns:a16="http://schemas.microsoft.com/office/drawing/2014/main" id="{CC6BDC03-E261-4EF7-82BA-5E711943BAA6}"/>
            </a:ext>
          </a:extLst>
        </xdr:cNvPr>
        <xdr:cNvSpPr/>
      </xdr:nvSpPr>
      <xdr:spPr>
        <a:xfrm>
          <a:off x="15290800" y="2082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25400</xdr:colOff>
      <xdr:row>10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E15C90AC-A9D7-4092-96E6-004C8259512A}"/>
            </a:ext>
          </a:extLst>
        </xdr:cNvPr>
        <xdr:cNvSpPr/>
      </xdr:nvSpPr>
      <xdr:spPr>
        <a:xfrm>
          <a:off x="14560550" y="2451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10</xdr:row>
      <xdr:rowOff>209550</xdr:rowOff>
    </xdr:from>
    <xdr:to>
      <xdr:col>12</xdr:col>
      <xdr:colOff>577850</xdr:colOff>
      <xdr:row>21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02738800-5ABE-4E96-AF0B-8F9AB25D6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7</xdr:row>
      <xdr:rowOff>19050</xdr:rowOff>
    </xdr:from>
    <xdr:to>
      <xdr:col>10</xdr:col>
      <xdr:colOff>723900</xdr:colOff>
      <xdr:row>8</xdr:row>
      <xdr:rowOff>0</xdr:rowOff>
    </xdr:to>
    <xdr:sp macro="[0]!unhide" textlink="">
      <xdr:nvSpPr>
        <xdr:cNvPr id="2" name="矩形 1">
          <a:extLst>
            <a:ext uri="{FF2B5EF4-FFF2-40B4-BE49-F238E27FC236}">
              <a16:creationId xmlns:a16="http://schemas.microsoft.com/office/drawing/2014/main" id="{E8156FF2-533B-4D4E-BF4C-46F19E0C01E3}"/>
            </a:ext>
          </a:extLst>
        </xdr:cNvPr>
        <xdr:cNvSpPr/>
      </xdr:nvSpPr>
      <xdr:spPr>
        <a:xfrm>
          <a:off x="14585950" y="2089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7</xdr:row>
      <xdr:rowOff>12700</xdr:rowOff>
    </xdr:from>
    <xdr:to>
      <xdr:col>12</xdr:col>
      <xdr:colOff>0</xdr:colOff>
      <xdr:row>7</xdr:row>
      <xdr:rowOff>298450</xdr:rowOff>
    </xdr:to>
    <xdr:sp macro="[0]!hide" textlink="">
      <xdr:nvSpPr>
        <xdr:cNvPr id="3" name="矩形 2">
          <a:extLst>
            <a:ext uri="{FF2B5EF4-FFF2-40B4-BE49-F238E27FC236}">
              <a16:creationId xmlns:a16="http://schemas.microsoft.com/office/drawing/2014/main" id="{F804B03F-9BC6-4678-A63B-8D0C58728297}"/>
            </a:ext>
          </a:extLst>
        </xdr:cNvPr>
        <xdr:cNvSpPr/>
      </xdr:nvSpPr>
      <xdr:spPr>
        <a:xfrm>
          <a:off x="15290800" y="2082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25400</xdr:colOff>
      <xdr:row>9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12FD0C97-CE17-468F-BF44-1B08F3FAAEB5}"/>
            </a:ext>
          </a:extLst>
        </xdr:cNvPr>
        <xdr:cNvSpPr/>
      </xdr:nvSpPr>
      <xdr:spPr>
        <a:xfrm>
          <a:off x="14560550" y="2451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9</xdr:row>
      <xdr:rowOff>209550</xdr:rowOff>
    </xdr:from>
    <xdr:to>
      <xdr:col>12</xdr:col>
      <xdr:colOff>444500</xdr:colOff>
      <xdr:row>20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D9EF4F6F-5AAC-41CF-8791-F0F531AAE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7</xdr:row>
      <xdr:rowOff>19050</xdr:rowOff>
    </xdr:from>
    <xdr:to>
      <xdr:col>10</xdr:col>
      <xdr:colOff>723900</xdr:colOff>
      <xdr:row>8</xdr:row>
      <xdr:rowOff>0</xdr:rowOff>
    </xdr:to>
    <xdr:sp macro="[0]!unhide" textlink="">
      <xdr:nvSpPr>
        <xdr:cNvPr id="2" name="矩形 1">
          <a:extLst>
            <a:ext uri="{FF2B5EF4-FFF2-40B4-BE49-F238E27FC236}">
              <a16:creationId xmlns:a16="http://schemas.microsoft.com/office/drawing/2014/main" id="{1FAD6EE5-9783-4887-A7E9-F4E6A97C9AA7}"/>
            </a:ext>
          </a:extLst>
        </xdr:cNvPr>
        <xdr:cNvSpPr/>
      </xdr:nvSpPr>
      <xdr:spPr>
        <a:xfrm>
          <a:off x="14458950" y="2089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7</xdr:row>
      <xdr:rowOff>12700</xdr:rowOff>
    </xdr:from>
    <xdr:to>
      <xdr:col>12</xdr:col>
      <xdr:colOff>0</xdr:colOff>
      <xdr:row>7</xdr:row>
      <xdr:rowOff>298450</xdr:rowOff>
    </xdr:to>
    <xdr:sp macro="[0]!hide" textlink="">
      <xdr:nvSpPr>
        <xdr:cNvPr id="3" name="矩形 2">
          <a:extLst>
            <a:ext uri="{FF2B5EF4-FFF2-40B4-BE49-F238E27FC236}">
              <a16:creationId xmlns:a16="http://schemas.microsoft.com/office/drawing/2014/main" id="{CA14E6F8-228A-4004-9734-D59947C39D9E}"/>
            </a:ext>
          </a:extLst>
        </xdr:cNvPr>
        <xdr:cNvSpPr/>
      </xdr:nvSpPr>
      <xdr:spPr>
        <a:xfrm>
          <a:off x="15163800" y="2082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25400</xdr:colOff>
      <xdr:row>9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E6D202E9-A27B-49DB-B000-24E1180A3A29}"/>
            </a:ext>
          </a:extLst>
        </xdr:cNvPr>
        <xdr:cNvSpPr/>
      </xdr:nvSpPr>
      <xdr:spPr>
        <a:xfrm>
          <a:off x="14433550" y="2451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9</xdr:row>
      <xdr:rowOff>209550</xdr:rowOff>
    </xdr:from>
    <xdr:to>
      <xdr:col>12</xdr:col>
      <xdr:colOff>444500</xdr:colOff>
      <xdr:row>21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D68C455A-CF90-4042-8FE4-29CA94831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39215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7</xdr:row>
      <xdr:rowOff>19050</xdr:rowOff>
    </xdr:from>
    <xdr:to>
      <xdr:col>10</xdr:col>
      <xdr:colOff>723900</xdr:colOff>
      <xdr:row>8</xdr:row>
      <xdr:rowOff>0</xdr:rowOff>
    </xdr:to>
    <xdr:sp macro="[0]!unhide" textlink="">
      <xdr:nvSpPr>
        <xdr:cNvPr id="2" name="矩形 1">
          <a:extLst>
            <a:ext uri="{FF2B5EF4-FFF2-40B4-BE49-F238E27FC236}">
              <a16:creationId xmlns:a16="http://schemas.microsoft.com/office/drawing/2014/main" id="{B2F2D484-1255-9228-556E-060028066BCE}"/>
            </a:ext>
          </a:extLst>
        </xdr:cNvPr>
        <xdr:cNvSpPr/>
      </xdr:nvSpPr>
      <xdr:spPr>
        <a:xfrm>
          <a:off x="13335000" y="1892300"/>
          <a:ext cx="6985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7</xdr:row>
      <xdr:rowOff>12700</xdr:rowOff>
    </xdr:from>
    <xdr:to>
      <xdr:col>12</xdr:col>
      <xdr:colOff>0</xdr:colOff>
      <xdr:row>7</xdr:row>
      <xdr:rowOff>298450</xdr:rowOff>
    </xdr:to>
    <xdr:sp macro="[0]!hide" textlink="">
      <xdr:nvSpPr>
        <xdr:cNvPr id="3" name="矩形 2">
          <a:extLst>
            <a:ext uri="{FF2B5EF4-FFF2-40B4-BE49-F238E27FC236}">
              <a16:creationId xmlns:a16="http://schemas.microsoft.com/office/drawing/2014/main" id="{3C7205BB-97D8-4BB2-BD2F-DF1FA79A161E}"/>
            </a:ext>
          </a:extLst>
        </xdr:cNvPr>
        <xdr:cNvSpPr/>
      </xdr:nvSpPr>
      <xdr:spPr>
        <a:xfrm>
          <a:off x="14039850" y="1885950"/>
          <a:ext cx="6604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25400</xdr:colOff>
      <xdr:row>9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406BCA45-6D38-4F0D-B441-AC2E14BF1223}"/>
            </a:ext>
          </a:extLst>
        </xdr:cNvPr>
        <xdr:cNvSpPr/>
      </xdr:nvSpPr>
      <xdr:spPr>
        <a:xfrm>
          <a:off x="13309600" y="2178050"/>
          <a:ext cx="14160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9</xdr:row>
      <xdr:rowOff>209550</xdr:rowOff>
    </xdr:from>
    <xdr:to>
      <xdr:col>12</xdr:col>
      <xdr:colOff>444500</xdr:colOff>
      <xdr:row>21</xdr:row>
      <xdr:rowOff>107950</xdr:rowOff>
    </xdr:to>
    <xdr:pic>
      <xdr:nvPicPr>
        <xdr:cNvPr id="6" name="图形 5" descr="图表纸、计算器、尺子、荧光笔和铅笔">
          <a:extLst>
            <a:ext uri="{FF2B5EF4-FFF2-40B4-BE49-F238E27FC236}">
              <a16:creationId xmlns:a16="http://schemas.microsoft.com/office/drawing/2014/main" id="{69A29AD4-57EE-EADA-239C-0B760EC39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57250" y="2387600"/>
          <a:ext cx="2946400" cy="2946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0D27-522F-4F5D-88FA-3B0F43F90ABA}">
  <sheetPr codeName="Sheet5">
    <pageSetUpPr fitToPage="1"/>
  </sheetPr>
  <dimension ref="A1:L27"/>
  <sheetViews>
    <sheetView tabSelected="1" zoomScaleNormal="100" workbookViewId="0">
      <selection activeCell="G4" sqref="G4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9.58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0" t="str">
        <f>ROUND(SUM(I3:I38),0)&amp;"+"</f>
        <v>158+</v>
      </c>
      <c r="L2" s="81"/>
    </row>
    <row r="3" spans="1:12" ht="25" customHeight="1" x14ac:dyDescent="0.3">
      <c r="A3" s="82" t="s">
        <v>7</v>
      </c>
      <c r="B3" s="18" t="s">
        <v>13</v>
      </c>
      <c r="C3" s="11">
        <v>0</v>
      </c>
      <c r="D3" s="12">
        <v>3</v>
      </c>
      <c r="E3" s="12">
        <v>3</v>
      </c>
      <c r="F3" s="29">
        <v>13</v>
      </c>
      <c r="G3" s="30">
        <f>(D3-C3)/(F3-C3)</f>
        <v>0.23076923076923078</v>
      </c>
      <c r="H3" s="29">
        <v>700</v>
      </c>
      <c r="I3" s="31">
        <f>((D3-E3)/F3)*H3</f>
        <v>0</v>
      </c>
      <c r="K3" s="81"/>
      <c r="L3" s="81"/>
    </row>
    <row r="4" spans="1:12" ht="25" customHeight="1" x14ac:dyDescent="0.3">
      <c r="A4" s="83"/>
      <c r="B4" s="18" t="s">
        <v>31</v>
      </c>
      <c r="C4" s="11">
        <v>0</v>
      </c>
      <c r="D4" s="60">
        <v>5</v>
      </c>
      <c r="E4" s="60">
        <v>5</v>
      </c>
      <c r="F4" s="59">
        <v>65</v>
      </c>
      <c r="G4" s="30">
        <f t="shared" ref="G4:G26" si="0">(D4-C4)/(F4-C4)</f>
        <v>7.6923076923076927E-2</v>
      </c>
      <c r="H4" s="29">
        <v>1800</v>
      </c>
      <c r="I4" s="31">
        <f t="shared" ref="I4:I26" si="1">((D4-E4)/F4)*H4</f>
        <v>0</v>
      </c>
    </row>
    <row r="5" spans="1:12" ht="25" customHeight="1" x14ac:dyDescent="0.3">
      <c r="A5" s="83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44749</v>
      </c>
      <c r="L5" s="7">
        <v>0.4604166666666667</v>
      </c>
    </row>
    <row r="6" spans="1:12" ht="25" customHeight="1" x14ac:dyDescent="0.3">
      <c r="A6" s="84"/>
      <c r="B6" s="18" t="s">
        <v>44</v>
      </c>
      <c r="C6" s="70">
        <v>5106</v>
      </c>
      <c r="D6" s="71">
        <v>6183</v>
      </c>
      <c r="E6" s="71">
        <v>6183</v>
      </c>
      <c r="F6" s="72">
        <v>13712</v>
      </c>
      <c r="G6" s="30">
        <f t="shared" si="0"/>
        <v>0.12514524750174297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customHeight="1" x14ac:dyDescent="0.3">
      <c r="A8" s="85" t="s">
        <v>8</v>
      </c>
      <c r="B8" s="19" t="s">
        <v>15</v>
      </c>
      <c r="C8" s="11">
        <v>0</v>
      </c>
      <c r="D8" s="12">
        <v>7</v>
      </c>
      <c r="E8" s="12">
        <v>5</v>
      </c>
      <c r="F8" s="29">
        <v>8</v>
      </c>
      <c r="G8" s="30">
        <f t="shared" si="0"/>
        <v>0.875</v>
      </c>
      <c r="H8" s="29">
        <v>500</v>
      </c>
      <c r="I8" s="31">
        <f t="shared" si="1"/>
        <v>125</v>
      </c>
    </row>
    <row r="9" spans="1:12" ht="25" customHeight="1" x14ac:dyDescent="0.3">
      <c r="A9" s="86"/>
      <c r="B9" s="19" t="s">
        <v>16</v>
      </c>
      <c r="C9" s="11">
        <v>0</v>
      </c>
      <c r="D9" s="12">
        <v>0</v>
      </c>
      <c r="E9" s="12">
        <v>0</v>
      </c>
      <c r="F9" s="29">
        <v>38</v>
      </c>
      <c r="G9" s="30">
        <f t="shared" si="0"/>
        <v>0</v>
      </c>
      <c r="H9" s="29">
        <v>6000</v>
      </c>
      <c r="I9" s="31">
        <f t="shared" si="1"/>
        <v>0</v>
      </c>
      <c r="J9" s="1" t="s">
        <v>30</v>
      </c>
      <c r="K9" s="9"/>
      <c r="L9" s="74"/>
    </row>
    <row r="10" spans="1:12" s="39" customFormat="1" ht="5" customHeight="1" x14ac:dyDescent="0.3">
      <c r="A10" s="49"/>
      <c r="B10" s="55"/>
      <c r="C10" s="50"/>
      <c r="D10" s="51"/>
      <c r="E10" s="51"/>
      <c r="F10" s="52"/>
      <c r="G10" s="53"/>
      <c r="H10" s="52"/>
      <c r="I10" s="54"/>
      <c r="J10" s="36"/>
      <c r="K10" s="40"/>
      <c r="L10" s="41"/>
    </row>
    <row r="11" spans="1:12" ht="25" customHeight="1" x14ac:dyDescent="0.3">
      <c r="A11" s="87" t="s">
        <v>9</v>
      </c>
      <c r="B11" s="20" t="s">
        <v>17</v>
      </c>
      <c r="C11" s="11">
        <v>0</v>
      </c>
      <c r="D11" s="12">
        <v>7</v>
      </c>
      <c r="E11" s="12">
        <v>6</v>
      </c>
      <c r="F11" s="29">
        <v>12</v>
      </c>
      <c r="G11" s="30">
        <f t="shared" si="0"/>
        <v>0.58333333333333337</v>
      </c>
      <c r="H11" s="29">
        <v>400</v>
      </c>
      <c r="I11" s="31">
        <f t="shared" si="1"/>
        <v>33.333333333333329</v>
      </c>
      <c r="K11" s="90"/>
      <c r="L11" s="90"/>
    </row>
    <row r="12" spans="1:12" ht="25" customHeight="1" x14ac:dyDescent="0.3">
      <c r="A12" s="88"/>
      <c r="B12" s="20" t="s">
        <v>42</v>
      </c>
      <c r="C12" s="11">
        <v>0</v>
      </c>
      <c r="D12" s="12">
        <v>2</v>
      </c>
      <c r="E12" s="12">
        <v>2</v>
      </c>
      <c r="F12" s="29">
        <v>17</v>
      </c>
      <c r="G12" s="30">
        <f t="shared" si="0"/>
        <v>0.11764705882352941</v>
      </c>
      <c r="H12" s="29">
        <v>350</v>
      </c>
      <c r="I12" s="31">
        <f t="shared" si="1"/>
        <v>0</v>
      </c>
      <c r="K12" s="74"/>
      <c r="L12" s="74"/>
    </row>
    <row r="13" spans="1:12" ht="25" customHeight="1" x14ac:dyDescent="0.3">
      <c r="A13" s="88"/>
      <c r="B13" s="20" t="s">
        <v>39</v>
      </c>
      <c r="C13" s="11">
        <v>0</v>
      </c>
      <c r="D13" s="12" t="s">
        <v>41</v>
      </c>
      <c r="E13" s="12" t="s">
        <v>41</v>
      </c>
      <c r="F13" s="29"/>
      <c r="G13" s="67"/>
      <c r="H13" s="29"/>
      <c r="I13" s="31"/>
      <c r="K13" s="74"/>
      <c r="L13" s="74"/>
    </row>
    <row r="14" spans="1:12" ht="25" customHeight="1" x14ac:dyDescent="0.3">
      <c r="A14" s="88"/>
      <c r="B14" s="20" t="s">
        <v>43</v>
      </c>
      <c r="C14" s="11">
        <v>0</v>
      </c>
      <c r="D14" s="12">
        <v>1</v>
      </c>
      <c r="E14" s="12">
        <v>1</v>
      </c>
      <c r="F14" s="29">
        <v>38</v>
      </c>
      <c r="G14" s="30">
        <f t="shared" si="0"/>
        <v>2.6315789473684209E-2</v>
      </c>
      <c r="H14" s="29">
        <v>2800</v>
      </c>
      <c r="I14" s="31">
        <f t="shared" si="1"/>
        <v>0</v>
      </c>
      <c r="K14" s="74"/>
      <c r="L14" s="74"/>
    </row>
    <row r="15" spans="1:12" ht="25" customHeight="1" x14ac:dyDescent="0.3">
      <c r="A15" s="89"/>
      <c r="B15" s="20" t="s">
        <v>18</v>
      </c>
      <c r="C15" s="11">
        <v>0</v>
      </c>
      <c r="D15" s="12">
        <v>14</v>
      </c>
      <c r="E15" s="12">
        <v>14</v>
      </c>
      <c r="F15" s="29">
        <v>31</v>
      </c>
      <c r="G15" s="30">
        <f t="shared" si="0"/>
        <v>0.45161290322580644</v>
      </c>
      <c r="H15" s="29">
        <v>230</v>
      </c>
      <c r="I15" s="31">
        <f t="shared" si="1"/>
        <v>0</v>
      </c>
    </row>
    <row r="16" spans="1:12" s="39" customFormat="1" ht="5" customHeight="1" x14ac:dyDescent="0.3">
      <c r="A16" s="49"/>
      <c r="B16" s="56"/>
      <c r="C16" s="50"/>
      <c r="D16" s="51"/>
      <c r="E16" s="51"/>
      <c r="F16" s="52"/>
      <c r="G16" s="53"/>
      <c r="H16" s="52"/>
      <c r="I16" s="54"/>
    </row>
    <row r="17" spans="1:11" ht="25" customHeight="1" x14ac:dyDescent="0.3">
      <c r="A17" s="91" t="s">
        <v>19</v>
      </c>
      <c r="B17" s="21" t="s">
        <v>36</v>
      </c>
      <c r="C17" s="11">
        <v>0</v>
      </c>
      <c r="D17" s="12">
        <v>5</v>
      </c>
      <c r="E17" s="12">
        <v>5</v>
      </c>
      <c r="F17" s="29">
        <v>10</v>
      </c>
      <c r="G17" s="30">
        <f t="shared" si="0"/>
        <v>0.5</v>
      </c>
      <c r="H17" s="29">
        <v>550</v>
      </c>
      <c r="I17" s="31">
        <f t="shared" si="1"/>
        <v>0</v>
      </c>
    </row>
    <row r="18" spans="1:11" ht="25" customHeight="1" x14ac:dyDescent="0.3">
      <c r="A18" s="92"/>
      <c r="B18" s="21" t="s">
        <v>26</v>
      </c>
      <c r="C18" s="11">
        <v>91</v>
      </c>
      <c r="D18" s="12">
        <v>91</v>
      </c>
      <c r="E18" s="12">
        <v>91</v>
      </c>
      <c r="F18" s="29">
        <v>107</v>
      </c>
      <c r="G18" s="30">
        <f t="shared" si="0"/>
        <v>0</v>
      </c>
      <c r="H18" s="29">
        <v>500</v>
      </c>
      <c r="I18" s="31">
        <f t="shared" si="1"/>
        <v>0</v>
      </c>
    </row>
    <row r="19" spans="1:11" ht="25" customHeight="1" x14ac:dyDescent="0.3">
      <c r="A19" s="93"/>
      <c r="B19" s="21" t="s">
        <v>33</v>
      </c>
      <c r="C19" s="11">
        <v>0</v>
      </c>
      <c r="D19" s="12">
        <v>0</v>
      </c>
      <c r="E19" s="12">
        <v>0</v>
      </c>
      <c r="F19" s="29">
        <v>28</v>
      </c>
      <c r="G19" s="30">
        <f t="shared" si="0"/>
        <v>0</v>
      </c>
      <c r="H19" s="29">
        <v>2700</v>
      </c>
      <c r="I19" s="31">
        <f t="shared" si="1"/>
        <v>0</v>
      </c>
    </row>
    <row r="20" spans="1:11" s="39" customFormat="1" ht="5" customHeight="1" x14ac:dyDescent="0.3">
      <c r="A20" s="49"/>
      <c r="B20" s="57"/>
      <c r="C20" s="50"/>
      <c r="D20" s="51"/>
      <c r="E20" s="51"/>
      <c r="F20" s="52"/>
      <c r="G20" s="53"/>
      <c r="H20" s="52"/>
      <c r="I20" s="54"/>
    </row>
    <row r="21" spans="1:11" ht="25" customHeight="1" x14ac:dyDescent="0.3">
      <c r="A21" s="75" t="s">
        <v>22</v>
      </c>
      <c r="B21" s="22" t="s">
        <v>32</v>
      </c>
      <c r="C21" s="11">
        <v>0</v>
      </c>
      <c r="D21" s="12">
        <v>4.0999999999999996</v>
      </c>
      <c r="E21" s="12">
        <v>4.0999999999999996</v>
      </c>
      <c r="F21" s="29">
        <v>28</v>
      </c>
      <c r="G21" s="30">
        <f t="shared" si="0"/>
        <v>0.14642857142857141</v>
      </c>
      <c r="H21" s="29">
        <v>2500</v>
      </c>
      <c r="I21" s="31">
        <f t="shared" si="1"/>
        <v>0</v>
      </c>
    </row>
    <row r="22" spans="1:11" ht="25" customHeight="1" x14ac:dyDescent="0.3">
      <c r="A22" s="76"/>
      <c r="B22" s="22" t="s">
        <v>37</v>
      </c>
      <c r="C22" s="11">
        <v>0</v>
      </c>
      <c r="D22" s="12">
        <v>3</v>
      </c>
      <c r="E22" s="12">
        <v>3</v>
      </c>
      <c r="F22" s="29">
        <v>10</v>
      </c>
      <c r="G22" s="30">
        <f t="shared" si="0"/>
        <v>0.3</v>
      </c>
      <c r="H22" s="29">
        <v>450</v>
      </c>
      <c r="I22" s="31">
        <f t="shared" si="1"/>
        <v>0</v>
      </c>
    </row>
    <row r="23" spans="1:11" s="39" customFormat="1" ht="5" customHeight="1" x14ac:dyDescent="0.3">
      <c r="A23" s="49"/>
      <c r="B23" s="58"/>
      <c r="C23" s="50"/>
      <c r="D23" s="51"/>
      <c r="E23" s="51"/>
      <c r="F23" s="52"/>
      <c r="G23" s="53"/>
      <c r="H23" s="52"/>
      <c r="I23" s="54"/>
    </row>
    <row r="24" spans="1:11" ht="25" customHeight="1" x14ac:dyDescent="0.3">
      <c r="A24" s="77" t="s">
        <v>24</v>
      </c>
      <c r="B24" s="23" t="s">
        <v>34</v>
      </c>
      <c r="C24" s="11">
        <v>72</v>
      </c>
      <c r="D24" s="12">
        <v>72</v>
      </c>
      <c r="E24" s="12">
        <v>72</v>
      </c>
      <c r="F24" s="29">
        <v>103</v>
      </c>
      <c r="G24" s="30">
        <f t="shared" si="0"/>
        <v>0</v>
      </c>
      <c r="H24" s="29">
        <v>630</v>
      </c>
      <c r="I24" s="31">
        <f t="shared" si="1"/>
        <v>0</v>
      </c>
      <c r="K24" s="68"/>
    </row>
    <row r="25" spans="1:11" ht="25" customHeight="1" x14ac:dyDescent="0.3">
      <c r="A25" s="78"/>
      <c r="B25" s="23" t="s">
        <v>38</v>
      </c>
      <c r="C25" s="11">
        <v>0</v>
      </c>
      <c r="D25" s="12">
        <v>4</v>
      </c>
      <c r="E25" s="12">
        <v>4</v>
      </c>
      <c r="F25" s="29">
        <v>10</v>
      </c>
      <c r="G25" s="30">
        <f t="shared" si="0"/>
        <v>0.4</v>
      </c>
      <c r="H25" s="29">
        <v>450</v>
      </c>
      <c r="I25" s="31">
        <f t="shared" si="1"/>
        <v>0</v>
      </c>
    </row>
    <row r="26" spans="1:11" ht="25" customHeight="1" x14ac:dyDescent="0.3">
      <c r="A26" s="79"/>
      <c r="B26" s="24" t="s">
        <v>40</v>
      </c>
      <c r="C26" s="13">
        <v>0</v>
      </c>
      <c r="D26" s="14">
        <v>0</v>
      </c>
      <c r="E26" s="14">
        <v>0</v>
      </c>
      <c r="F26" s="32">
        <v>28</v>
      </c>
      <c r="G26" s="33">
        <f t="shared" si="0"/>
        <v>0</v>
      </c>
      <c r="H26" s="32">
        <v>2300</v>
      </c>
      <c r="I26" s="34">
        <f t="shared" si="1"/>
        <v>0</v>
      </c>
    </row>
    <row r="27" spans="1:11" s="39" customFormat="1" ht="5" customHeight="1" x14ac:dyDescent="0.3">
      <c r="A27" s="42"/>
      <c r="B27" s="43"/>
      <c r="C27" s="44"/>
      <c r="D27" s="45"/>
      <c r="E27" s="45"/>
      <c r="F27" s="46"/>
      <c r="G27" s="47"/>
      <c r="H27" s="46"/>
      <c r="I27" s="48"/>
    </row>
  </sheetData>
  <mergeCells count="8">
    <mergeCell ref="A21:A22"/>
    <mergeCell ref="A24:A26"/>
    <mergeCell ref="K2:L3"/>
    <mergeCell ref="A3:A6"/>
    <mergeCell ref="A8:A9"/>
    <mergeCell ref="A11:A15"/>
    <mergeCell ref="K11:L11"/>
    <mergeCell ref="A17:A19"/>
  </mergeCells>
  <phoneticPr fontId="1" type="noConversion"/>
  <conditionalFormatting sqref="G8:G27 G3:G6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{23616178-06BA-4E38-985D-B91E8B3E46E9}</x14:id>
        </ext>
      </extLst>
    </cfRule>
  </conditionalFormatting>
  <conditionalFormatting sqref="G17:G20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{B3ED55D9-F103-4670-9733-C38A417D3C1B}</x14:id>
        </ext>
      </extLst>
    </cfRule>
  </conditionalFormatting>
  <conditionalFormatting sqref="G21:G23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{876C70D7-8233-4F4A-A627-A944A5D41E86}</x14:id>
        </ext>
      </extLst>
    </cfRule>
  </conditionalFormatting>
  <conditionalFormatting sqref="G24:G27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{5ED19FCC-7A77-47C9-8DAC-40EE631A2F1E}</x14:id>
        </ext>
      </extLst>
    </cfRule>
  </conditionalFormatting>
  <conditionalFormatting sqref="G8:G9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{5E31DF39-D49B-4C51-9079-40444CF37F5C}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{D4F70868-80F2-40C0-8377-019E176B8284}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{81C1A0D9-2034-4AAC-8E5C-789EE64666C4}</x14:id>
        </ext>
      </extLst>
    </cfRule>
  </conditionalFormatting>
  <conditionalFormatting sqref="G11:G15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{7960481B-4563-4C82-9962-7BF210B37F86}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616178-06BA-4E38-985D-B91E8B3E46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G8:G27 G3:G6</xm:sqref>
        </x14:conditionalFormatting>
        <x14:conditionalFormatting xmlns:xm="http://schemas.microsoft.com/office/excel/2006/main">
          <x14:cfRule type="dataBar" id="{B3ED55D9-F103-4670-9733-C38A417D3C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G17:G20</xm:sqref>
        </x14:conditionalFormatting>
        <x14:conditionalFormatting xmlns:xm="http://schemas.microsoft.com/office/excel/2006/main">
          <x14:cfRule type="dataBar" id="{876C70D7-8233-4F4A-A627-A944A5D41E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G21:G23</xm:sqref>
        </x14:conditionalFormatting>
        <x14:conditionalFormatting xmlns:xm="http://schemas.microsoft.com/office/excel/2006/main">
          <x14:cfRule type="dataBar" id="{5ED19FCC-7A77-47C9-8DAC-40EE631A2F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G24:G27</xm:sqref>
        </x14:conditionalFormatting>
        <x14:conditionalFormatting xmlns:xm="http://schemas.microsoft.com/office/excel/2006/main">
          <x14:cfRule type="dataBar" id="{5E31DF39-D49B-4C51-9079-40444CF37F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D4F70868-80F2-40C0-8377-019E176B82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1C1A0D9-2034-4AAC-8E5C-789EE64666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G8:G9</xm:sqref>
        </x14:conditionalFormatting>
        <x14:conditionalFormatting xmlns:xm="http://schemas.microsoft.com/office/excel/2006/main">
          <x14:cfRule type="dataBar" id="{7960481B-4563-4C82-9962-7BF210B37F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G11:G15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B0C37-CC82-4327-8B7B-590E238BBF83}">
  <sheetPr codeName="Sheet4">
    <pageSetUpPr fitToPage="1"/>
  </sheetPr>
  <dimension ref="A1:L27"/>
  <sheetViews>
    <sheetView topLeftCell="A3" zoomScaleNormal="100" workbookViewId="0">
      <selection activeCell="D3" sqref="D3:D26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9.58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0" t="str">
        <f>ROUND(SUM(I3:I38),0)&amp;"+"</f>
        <v>520+</v>
      </c>
      <c r="L2" s="81"/>
    </row>
    <row r="3" spans="1:12" ht="25" customHeight="1" x14ac:dyDescent="0.3">
      <c r="A3" s="82" t="s">
        <v>7</v>
      </c>
      <c r="B3" s="18" t="s">
        <v>13</v>
      </c>
      <c r="C3" s="11">
        <v>0</v>
      </c>
      <c r="D3" s="12">
        <v>3</v>
      </c>
      <c r="E3" s="12">
        <v>2</v>
      </c>
      <c r="F3" s="29">
        <v>13</v>
      </c>
      <c r="G3" s="30">
        <f>(D3-C3)/(F3-C3)</f>
        <v>0.23076923076923078</v>
      </c>
      <c r="H3" s="29">
        <v>700</v>
      </c>
      <c r="I3" s="31">
        <f>((D3-E3)/F3)*H3</f>
        <v>53.846153846153847</v>
      </c>
      <c r="K3" s="81"/>
      <c r="L3" s="81"/>
    </row>
    <row r="4" spans="1:12" ht="25" customHeight="1" x14ac:dyDescent="0.3">
      <c r="A4" s="83"/>
      <c r="B4" s="18" t="s">
        <v>31</v>
      </c>
      <c r="C4" s="11">
        <v>0</v>
      </c>
      <c r="D4" s="60">
        <v>5</v>
      </c>
      <c r="E4" s="60">
        <v>4</v>
      </c>
      <c r="F4" s="59">
        <v>65</v>
      </c>
      <c r="G4" s="30">
        <f t="shared" ref="G4:G26" si="0">(D4-C4)/(F4-C4)</f>
        <v>7.6923076923076927E-2</v>
      </c>
      <c r="H4" s="29">
        <v>1500</v>
      </c>
      <c r="I4" s="31">
        <f t="shared" ref="I4:I26" si="1">((D4-E4)/F4)*H4</f>
        <v>23.076923076923077</v>
      </c>
    </row>
    <row r="5" spans="1:12" ht="25" customHeight="1" x14ac:dyDescent="0.3">
      <c r="A5" s="83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44748</v>
      </c>
      <c r="L5" s="7">
        <v>0.89097222222222217</v>
      </c>
    </row>
    <row r="6" spans="1:12" ht="25" customHeight="1" x14ac:dyDescent="0.3">
      <c r="A6" s="84"/>
      <c r="B6" s="18" t="s">
        <v>44</v>
      </c>
      <c r="C6" s="70">
        <v>5106</v>
      </c>
      <c r="D6" s="71">
        <v>6183</v>
      </c>
      <c r="E6" s="71">
        <v>5676</v>
      </c>
      <c r="F6" s="72">
        <v>13712</v>
      </c>
      <c r="G6" s="30">
        <f t="shared" si="0"/>
        <v>0.12514524750174297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customHeight="1" x14ac:dyDescent="0.3">
      <c r="A8" s="85" t="s">
        <v>8</v>
      </c>
      <c r="B8" s="19" t="s">
        <v>15</v>
      </c>
      <c r="C8" s="11">
        <v>0</v>
      </c>
      <c r="D8" s="12">
        <v>5</v>
      </c>
      <c r="E8" s="12">
        <v>3.7</v>
      </c>
      <c r="F8" s="29">
        <v>8</v>
      </c>
      <c r="G8" s="30">
        <f t="shared" si="0"/>
        <v>0.625</v>
      </c>
      <c r="H8" s="29">
        <v>500</v>
      </c>
      <c r="I8" s="31">
        <f t="shared" si="1"/>
        <v>81.249999999999986</v>
      </c>
    </row>
    <row r="9" spans="1:12" ht="25" customHeight="1" x14ac:dyDescent="0.3">
      <c r="A9" s="86"/>
      <c r="B9" s="19" t="s">
        <v>16</v>
      </c>
      <c r="C9" s="11">
        <v>0</v>
      </c>
      <c r="D9" s="12">
        <v>0</v>
      </c>
      <c r="E9" s="12">
        <v>0</v>
      </c>
      <c r="F9" s="29">
        <v>38</v>
      </c>
      <c r="G9" s="30">
        <f t="shared" si="0"/>
        <v>0</v>
      </c>
      <c r="H9" s="29">
        <v>6000</v>
      </c>
      <c r="I9" s="31">
        <f t="shared" si="1"/>
        <v>0</v>
      </c>
      <c r="J9" s="1" t="s">
        <v>30</v>
      </c>
      <c r="K9" s="9"/>
      <c r="L9" s="69"/>
    </row>
    <row r="10" spans="1:12" s="39" customFormat="1" ht="5" customHeight="1" x14ac:dyDescent="0.3">
      <c r="A10" s="49"/>
      <c r="B10" s="55"/>
      <c r="C10" s="50"/>
      <c r="D10" s="51"/>
      <c r="E10" s="51"/>
      <c r="F10" s="52"/>
      <c r="G10" s="53"/>
      <c r="H10" s="52"/>
      <c r="I10" s="54"/>
      <c r="J10" s="36"/>
      <c r="K10" s="40"/>
      <c r="L10" s="41"/>
    </row>
    <row r="11" spans="1:12" ht="25" customHeight="1" x14ac:dyDescent="0.3">
      <c r="A11" s="87" t="s">
        <v>9</v>
      </c>
      <c r="B11" s="20" t="s">
        <v>17</v>
      </c>
      <c r="C11" s="11">
        <v>0</v>
      </c>
      <c r="D11" s="12">
        <v>6</v>
      </c>
      <c r="E11" s="12">
        <v>4</v>
      </c>
      <c r="F11" s="29">
        <v>12</v>
      </c>
      <c r="G11" s="30">
        <f t="shared" si="0"/>
        <v>0.5</v>
      </c>
      <c r="H11" s="29">
        <v>400</v>
      </c>
      <c r="I11" s="31">
        <f t="shared" si="1"/>
        <v>66.666666666666657</v>
      </c>
      <c r="K11" s="90"/>
      <c r="L11" s="90"/>
    </row>
    <row r="12" spans="1:12" ht="25" customHeight="1" x14ac:dyDescent="0.3">
      <c r="A12" s="88"/>
      <c r="B12" s="20" t="s">
        <v>42</v>
      </c>
      <c r="C12" s="11">
        <v>0</v>
      </c>
      <c r="D12" s="12">
        <v>2</v>
      </c>
      <c r="E12" s="12">
        <v>1</v>
      </c>
      <c r="F12" s="29">
        <v>17</v>
      </c>
      <c r="G12" s="30">
        <f t="shared" si="0"/>
        <v>0.11764705882352941</v>
      </c>
      <c r="H12" s="29">
        <v>350</v>
      </c>
      <c r="I12" s="31">
        <f t="shared" si="1"/>
        <v>20.588235294117649</v>
      </c>
      <c r="K12" s="69"/>
      <c r="L12" s="69"/>
    </row>
    <row r="13" spans="1:12" ht="25" customHeight="1" x14ac:dyDescent="0.3">
      <c r="A13" s="88"/>
      <c r="B13" s="20" t="s">
        <v>39</v>
      </c>
      <c r="C13" s="11">
        <v>0</v>
      </c>
      <c r="D13" s="12" t="s">
        <v>41</v>
      </c>
      <c r="E13" s="12" t="s">
        <v>41</v>
      </c>
      <c r="F13" s="29"/>
      <c r="G13" s="67"/>
      <c r="H13" s="29"/>
      <c r="I13" s="31"/>
      <c r="K13" s="69"/>
      <c r="L13" s="69"/>
    </row>
    <row r="14" spans="1:12" ht="25" customHeight="1" x14ac:dyDescent="0.3">
      <c r="A14" s="88"/>
      <c r="B14" s="20" t="s">
        <v>43</v>
      </c>
      <c r="C14" s="11">
        <v>0</v>
      </c>
      <c r="D14" s="12">
        <v>1</v>
      </c>
      <c r="E14" s="12">
        <v>1</v>
      </c>
      <c r="F14" s="29">
        <v>38</v>
      </c>
      <c r="G14" s="30">
        <f t="shared" si="0"/>
        <v>2.6315789473684209E-2</v>
      </c>
      <c r="H14" s="29">
        <v>2800</v>
      </c>
      <c r="I14" s="31">
        <f t="shared" si="1"/>
        <v>0</v>
      </c>
      <c r="K14" s="69"/>
      <c r="L14" s="69"/>
    </row>
    <row r="15" spans="1:12" ht="25" customHeight="1" x14ac:dyDescent="0.3">
      <c r="A15" s="89"/>
      <c r="B15" s="20" t="s">
        <v>18</v>
      </c>
      <c r="C15" s="11">
        <v>0</v>
      </c>
      <c r="D15" s="12">
        <v>14</v>
      </c>
      <c r="E15" s="12">
        <v>10</v>
      </c>
      <c r="F15" s="29">
        <v>31</v>
      </c>
      <c r="G15" s="30">
        <f t="shared" si="0"/>
        <v>0.45161290322580644</v>
      </c>
      <c r="H15" s="29">
        <v>230</v>
      </c>
      <c r="I15" s="31">
        <f t="shared" si="1"/>
        <v>29.677419354838708</v>
      </c>
    </row>
    <row r="16" spans="1:12" s="39" customFormat="1" ht="5" customHeight="1" x14ac:dyDescent="0.3">
      <c r="A16" s="49"/>
      <c r="B16" s="56"/>
      <c r="C16" s="50"/>
      <c r="D16" s="51"/>
      <c r="E16" s="51"/>
      <c r="F16" s="52"/>
      <c r="G16" s="53"/>
      <c r="H16" s="52"/>
      <c r="I16" s="54"/>
    </row>
    <row r="17" spans="1:11" ht="25" customHeight="1" x14ac:dyDescent="0.3">
      <c r="A17" s="91" t="s">
        <v>19</v>
      </c>
      <c r="B17" s="21" t="s">
        <v>36</v>
      </c>
      <c r="C17" s="11">
        <v>0</v>
      </c>
      <c r="D17" s="12">
        <v>5</v>
      </c>
      <c r="E17" s="12">
        <v>3</v>
      </c>
      <c r="F17" s="29">
        <v>10</v>
      </c>
      <c r="G17" s="30">
        <f t="shared" si="0"/>
        <v>0.5</v>
      </c>
      <c r="H17" s="29">
        <v>550</v>
      </c>
      <c r="I17" s="31">
        <f t="shared" si="1"/>
        <v>110</v>
      </c>
    </row>
    <row r="18" spans="1:11" ht="25" customHeight="1" x14ac:dyDescent="0.3">
      <c r="A18" s="92"/>
      <c r="B18" s="21" t="s">
        <v>26</v>
      </c>
      <c r="C18" s="11">
        <v>91</v>
      </c>
      <c r="D18" s="12">
        <v>91</v>
      </c>
      <c r="E18" s="12">
        <v>91</v>
      </c>
      <c r="F18" s="29">
        <v>107</v>
      </c>
      <c r="G18" s="30">
        <f t="shared" si="0"/>
        <v>0</v>
      </c>
      <c r="H18" s="29">
        <v>500</v>
      </c>
      <c r="I18" s="31">
        <f t="shared" si="1"/>
        <v>0</v>
      </c>
    </row>
    <row r="19" spans="1:11" ht="25" customHeight="1" x14ac:dyDescent="0.3">
      <c r="A19" s="93"/>
      <c r="B19" s="21" t="s">
        <v>33</v>
      </c>
      <c r="C19" s="11">
        <v>0</v>
      </c>
      <c r="D19" s="12">
        <v>0</v>
      </c>
      <c r="E19" s="12">
        <v>0</v>
      </c>
      <c r="F19" s="29">
        <v>28</v>
      </c>
      <c r="G19" s="30">
        <f t="shared" si="0"/>
        <v>0</v>
      </c>
      <c r="H19" s="29">
        <v>2700</v>
      </c>
      <c r="I19" s="31">
        <f t="shared" si="1"/>
        <v>0</v>
      </c>
    </row>
    <row r="20" spans="1:11" s="39" customFormat="1" ht="5" customHeight="1" x14ac:dyDescent="0.3">
      <c r="A20" s="49"/>
      <c r="B20" s="57"/>
      <c r="C20" s="50"/>
      <c r="D20" s="51"/>
      <c r="E20" s="51"/>
      <c r="F20" s="52"/>
      <c r="G20" s="53"/>
      <c r="H20" s="52"/>
      <c r="I20" s="54"/>
    </row>
    <row r="21" spans="1:11" ht="25" customHeight="1" x14ac:dyDescent="0.3">
      <c r="A21" s="75" t="s">
        <v>22</v>
      </c>
      <c r="B21" s="22" t="s">
        <v>32</v>
      </c>
      <c r="C21" s="11">
        <v>0</v>
      </c>
      <c r="D21" s="12">
        <v>4.0999999999999996</v>
      </c>
      <c r="E21" s="12">
        <v>4.0999999999999996</v>
      </c>
      <c r="F21" s="29">
        <v>28</v>
      </c>
      <c r="G21" s="30">
        <f t="shared" si="0"/>
        <v>0.14642857142857141</v>
      </c>
      <c r="H21" s="29">
        <v>2500</v>
      </c>
      <c r="I21" s="31">
        <f t="shared" si="1"/>
        <v>0</v>
      </c>
    </row>
    <row r="22" spans="1:11" ht="25" customHeight="1" x14ac:dyDescent="0.3">
      <c r="A22" s="76"/>
      <c r="B22" s="22" t="s">
        <v>37</v>
      </c>
      <c r="C22" s="11">
        <v>0</v>
      </c>
      <c r="D22" s="12">
        <v>3</v>
      </c>
      <c r="E22" s="12">
        <v>2</v>
      </c>
      <c r="F22" s="29">
        <v>10</v>
      </c>
      <c r="G22" s="30">
        <f t="shared" si="0"/>
        <v>0.3</v>
      </c>
      <c r="H22" s="29">
        <v>450</v>
      </c>
      <c r="I22" s="31">
        <f t="shared" si="1"/>
        <v>45</v>
      </c>
    </row>
    <row r="23" spans="1:11" s="39" customFormat="1" ht="5" customHeight="1" x14ac:dyDescent="0.3">
      <c r="A23" s="49"/>
      <c r="B23" s="58"/>
      <c r="C23" s="50"/>
      <c r="D23" s="51"/>
      <c r="E23" s="51"/>
      <c r="F23" s="52"/>
      <c r="G23" s="53"/>
      <c r="H23" s="52"/>
      <c r="I23" s="54"/>
    </row>
    <row r="24" spans="1:11" ht="25" customHeight="1" x14ac:dyDescent="0.3">
      <c r="A24" s="77" t="s">
        <v>24</v>
      </c>
      <c r="B24" s="23" t="s">
        <v>34</v>
      </c>
      <c r="C24" s="11">
        <v>72</v>
      </c>
      <c r="D24" s="12">
        <v>72</v>
      </c>
      <c r="E24" s="12">
        <v>72</v>
      </c>
      <c r="F24" s="29">
        <v>103</v>
      </c>
      <c r="G24" s="30">
        <f t="shared" si="0"/>
        <v>0</v>
      </c>
      <c r="H24" s="29">
        <v>630</v>
      </c>
      <c r="I24" s="31">
        <f t="shared" si="1"/>
        <v>0</v>
      </c>
      <c r="K24" s="68"/>
    </row>
    <row r="25" spans="1:11" ht="25" customHeight="1" x14ac:dyDescent="0.3">
      <c r="A25" s="78"/>
      <c r="B25" s="23" t="s">
        <v>38</v>
      </c>
      <c r="C25" s="11">
        <v>0</v>
      </c>
      <c r="D25" s="12">
        <v>4</v>
      </c>
      <c r="E25" s="12">
        <v>2</v>
      </c>
      <c r="F25" s="29">
        <v>10</v>
      </c>
      <c r="G25" s="30">
        <f t="shared" si="0"/>
        <v>0.4</v>
      </c>
      <c r="H25" s="29">
        <v>450</v>
      </c>
      <c r="I25" s="31">
        <f t="shared" si="1"/>
        <v>90</v>
      </c>
    </row>
    <row r="26" spans="1:11" ht="25" customHeight="1" x14ac:dyDescent="0.3">
      <c r="A26" s="79"/>
      <c r="B26" s="24" t="s">
        <v>40</v>
      </c>
      <c r="C26" s="13">
        <v>0</v>
      </c>
      <c r="D26" s="14">
        <v>0</v>
      </c>
      <c r="E26" s="14">
        <v>0</v>
      </c>
      <c r="F26" s="32">
        <v>28</v>
      </c>
      <c r="G26" s="33">
        <f t="shared" si="0"/>
        <v>0</v>
      </c>
      <c r="H26" s="32">
        <v>2300</v>
      </c>
      <c r="I26" s="34">
        <f t="shared" si="1"/>
        <v>0</v>
      </c>
    </row>
    <row r="27" spans="1:11" s="39" customFormat="1" ht="5" customHeight="1" x14ac:dyDescent="0.3">
      <c r="A27" s="42"/>
      <c r="B27" s="43"/>
      <c r="C27" s="44"/>
      <c r="D27" s="45"/>
      <c r="E27" s="45"/>
      <c r="F27" s="46"/>
      <c r="G27" s="47"/>
      <c r="H27" s="46"/>
      <c r="I27" s="48"/>
    </row>
  </sheetData>
  <mergeCells count="8">
    <mergeCell ref="A21:A22"/>
    <mergeCell ref="A24:A26"/>
    <mergeCell ref="K2:L3"/>
    <mergeCell ref="A8:A9"/>
    <mergeCell ref="A11:A15"/>
    <mergeCell ref="K11:L11"/>
    <mergeCell ref="A17:A19"/>
    <mergeCell ref="A3:A6"/>
  </mergeCells>
  <phoneticPr fontId="1" type="noConversion"/>
  <conditionalFormatting sqref="G8:G27 G3:G6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{704D1C2B-3FA5-454F-AD8C-95BC27715FC6}</x14:id>
        </ext>
      </extLst>
    </cfRule>
  </conditionalFormatting>
  <conditionalFormatting sqref="G17:G20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{7D91BFE7-0831-435E-873D-3DB3B894C3FD}</x14:id>
        </ext>
      </extLst>
    </cfRule>
  </conditionalFormatting>
  <conditionalFormatting sqref="G21:G23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{79572734-E8EC-4BEC-B85A-89CDF01E03BA}</x14:id>
        </ext>
      </extLst>
    </cfRule>
  </conditionalFormatting>
  <conditionalFormatting sqref="G24:G27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{48398A06-8D1F-4C74-A8A3-1348D20D9549}</x14:id>
        </ext>
      </extLst>
    </cfRule>
  </conditionalFormatting>
  <conditionalFormatting sqref="G8:G9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{562C8AB4-C146-4BDD-BB8D-4BECDA89CEE7}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{4D2B94FB-053C-4ECF-9A41-BAB637A5E208}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{6D777C65-B18C-4434-9A65-0B41878E7260}</x14:id>
        </ext>
      </extLst>
    </cfRule>
  </conditionalFormatting>
  <conditionalFormatting sqref="G11:G15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{9DF2D740-0BF4-44EE-A46B-9B521F3DAA23}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4D1C2B-3FA5-454F-AD8C-95BC27715F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G8:G27 G3:G6</xm:sqref>
        </x14:conditionalFormatting>
        <x14:conditionalFormatting xmlns:xm="http://schemas.microsoft.com/office/excel/2006/main">
          <x14:cfRule type="dataBar" id="{7D91BFE7-0831-435E-873D-3DB3B894C3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G17:G20</xm:sqref>
        </x14:conditionalFormatting>
        <x14:conditionalFormatting xmlns:xm="http://schemas.microsoft.com/office/excel/2006/main">
          <x14:cfRule type="dataBar" id="{79572734-E8EC-4BEC-B85A-89CDF01E03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G21:G23</xm:sqref>
        </x14:conditionalFormatting>
        <x14:conditionalFormatting xmlns:xm="http://schemas.microsoft.com/office/excel/2006/main">
          <x14:cfRule type="dataBar" id="{48398A06-8D1F-4C74-A8A3-1348D20D954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G24:G27</xm:sqref>
        </x14:conditionalFormatting>
        <x14:conditionalFormatting xmlns:xm="http://schemas.microsoft.com/office/excel/2006/main">
          <x14:cfRule type="dataBar" id="{562C8AB4-C146-4BDD-BB8D-4BECDA89CE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4D2B94FB-053C-4ECF-9A41-BAB637A5E2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777C65-B18C-4434-9A65-0B41878E72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G8:G9</xm:sqref>
        </x14:conditionalFormatting>
        <x14:conditionalFormatting xmlns:xm="http://schemas.microsoft.com/office/excel/2006/main">
          <x14:cfRule type="dataBar" id="{9DF2D740-0BF4-44EE-A46B-9B521F3DAA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G11:G15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4E95-80F4-450A-B005-CE38AC42254E}">
  <sheetPr codeName="Sheet3">
    <pageSetUpPr fitToPage="1"/>
  </sheetPr>
  <dimension ref="A1:L26"/>
  <sheetViews>
    <sheetView zoomScaleNormal="100" workbookViewId="0">
      <selection activeCell="D7" sqref="D7:D25"/>
    </sheetView>
  </sheetViews>
  <sheetFormatPr defaultRowHeight="14" x14ac:dyDescent="0.3"/>
  <cols>
    <col min="1" max="2" width="9.58203125" customWidth="1"/>
    <col min="3" max="3" width="9.75" style="2" customWidth="1"/>
    <col min="4" max="4" width="9.58203125" customWidth="1"/>
    <col min="5" max="5" width="11.58203125" customWidth="1"/>
    <col min="6" max="6" width="11.1640625" style="2" customWidth="1"/>
    <col min="7" max="7" width="81.6640625" customWidth="1"/>
    <col min="8" max="8" width="9.58203125" style="2" hidden="1" customWidth="1"/>
    <col min="9" max="9" width="11.33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0" t="str">
        <f>ROUND(SUM(I3:I37),0)&amp;"+"</f>
        <v>466+</v>
      </c>
      <c r="L2" s="81"/>
    </row>
    <row r="3" spans="1:12" ht="25" customHeight="1" x14ac:dyDescent="0.3">
      <c r="A3" s="94" t="s">
        <v>7</v>
      </c>
      <c r="B3" s="18" t="s">
        <v>13</v>
      </c>
      <c r="C3" s="11">
        <v>0</v>
      </c>
      <c r="D3" s="12">
        <v>2</v>
      </c>
      <c r="E3" s="12">
        <v>0.8</v>
      </c>
      <c r="F3" s="29">
        <v>13</v>
      </c>
      <c r="G3" s="30">
        <f>(D3-C3)/(F3-C3)</f>
        <v>0.15384615384615385</v>
      </c>
      <c r="H3" s="29">
        <v>700</v>
      </c>
      <c r="I3" s="31">
        <f>((D3-E3)/F3)*H3</f>
        <v>64.615384615384613</v>
      </c>
      <c r="K3" s="81"/>
      <c r="L3" s="81"/>
    </row>
    <row r="4" spans="1:12" ht="25" customHeight="1" x14ac:dyDescent="0.3">
      <c r="A4" s="95"/>
      <c r="B4" s="18" t="s">
        <v>31</v>
      </c>
      <c r="C4" s="11">
        <v>0</v>
      </c>
      <c r="D4" s="60">
        <v>4</v>
      </c>
      <c r="E4" s="60">
        <v>3</v>
      </c>
      <c r="F4" s="59">
        <v>65</v>
      </c>
      <c r="G4" s="30">
        <f t="shared" ref="G4:G25" si="0">(D4-C4)/(F4-C4)</f>
        <v>6.1538461538461542E-2</v>
      </c>
      <c r="H4" s="29">
        <v>1500</v>
      </c>
      <c r="I4" s="31">
        <f t="shared" ref="I4:I25" si="1">((D4-E4)/F4)*H4</f>
        <v>23.076923076923077</v>
      </c>
    </row>
    <row r="5" spans="1:12" ht="25" customHeight="1" x14ac:dyDescent="0.3">
      <c r="A5" s="96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44747</v>
      </c>
      <c r="L5" s="7">
        <v>0.87777777777777777</v>
      </c>
    </row>
    <row r="6" spans="1:12" s="39" customFormat="1" ht="5" customHeight="1" x14ac:dyDescent="0.3">
      <c r="A6" s="62"/>
      <c r="B6" s="63"/>
      <c r="C6" s="63"/>
      <c r="D6" s="63"/>
      <c r="E6" s="63"/>
      <c r="F6" s="63"/>
      <c r="G6" s="64"/>
      <c r="H6" s="52"/>
      <c r="I6" s="54"/>
      <c r="J6" s="36"/>
      <c r="K6" s="37"/>
      <c r="L6" s="38"/>
    </row>
    <row r="7" spans="1:12" ht="25" customHeight="1" x14ac:dyDescent="0.3">
      <c r="A7" s="85" t="s">
        <v>8</v>
      </c>
      <c r="B7" s="19" t="s">
        <v>15</v>
      </c>
      <c r="C7" s="11">
        <v>0</v>
      </c>
      <c r="D7" s="12">
        <v>3.7</v>
      </c>
      <c r="E7" s="12">
        <v>2.7</v>
      </c>
      <c r="F7" s="29">
        <v>8</v>
      </c>
      <c r="G7" s="30">
        <f t="shared" si="0"/>
        <v>0.46250000000000002</v>
      </c>
      <c r="H7" s="29">
        <v>500</v>
      </c>
      <c r="I7" s="31">
        <f t="shared" si="1"/>
        <v>62.5</v>
      </c>
    </row>
    <row r="8" spans="1:12" ht="25" customHeight="1" x14ac:dyDescent="0.3">
      <c r="A8" s="86"/>
      <c r="B8" s="19" t="s">
        <v>16</v>
      </c>
      <c r="C8" s="11">
        <v>0</v>
      </c>
      <c r="D8" s="12">
        <v>0</v>
      </c>
      <c r="E8" s="12">
        <v>0</v>
      </c>
      <c r="F8" s="29">
        <v>38</v>
      </c>
      <c r="G8" s="30">
        <f t="shared" si="0"/>
        <v>0</v>
      </c>
      <c r="H8" s="29">
        <v>6000</v>
      </c>
      <c r="I8" s="31">
        <f t="shared" si="1"/>
        <v>0</v>
      </c>
      <c r="J8" s="1" t="s">
        <v>30</v>
      </c>
      <c r="K8" s="9"/>
      <c r="L8" s="65"/>
    </row>
    <row r="9" spans="1:12" s="39" customFormat="1" ht="5" customHeight="1" x14ac:dyDescent="0.3">
      <c r="A9" s="49"/>
      <c r="B9" s="55"/>
      <c r="C9" s="50"/>
      <c r="D9" s="51"/>
      <c r="E9" s="51"/>
      <c r="F9" s="52"/>
      <c r="G9" s="53"/>
      <c r="H9" s="52"/>
      <c r="I9" s="54"/>
      <c r="J9" s="36"/>
      <c r="K9" s="40"/>
      <c r="L9" s="41"/>
    </row>
    <row r="10" spans="1:12" ht="25" customHeight="1" x14ac:dyDescent="0.3">
      <c r="A10" s="87" t="s">
        <v>9</v>
      </c>
      <c r="B10" s="20" t="s">
        <v>17</v>
      </c>
      <c r="C10" s="11">
        <v>0</v>
      </c>
      <c r="D10" s="12">
        <v>4</v>
      </c>
      <c r="E10" s="12">
        <v>2</v>
      </c>
      <c r="F10" s="29">
        <v>12</v>
      </c>
      <c r="G10" s="30">
        <f t="shared" si="0"/>
        <v>0.33333333333333331</v>
      </c>
      <c r="H10" s="29">
        <v>400</v>
      </c>
      <c r="I10" s="31">
        <f t="shared" si="1"/>
        <v>66.666666666666657</v>
      </c>
      <c r="K10" s="90"/>
      <c r="L10" s="90"/>
    </row>
    <row r="11" spans="1:12" ht="25" customHeight="1" x14ac:dyDescent="0.3">
      <c r="A11" s="88"/>
      <c r="B11" s="20" t="s">
        <v>42</v>
      </c>
      <c r="C11" s="11">
        <v>0</v>
      </c>
      <c r="D11" s="12">
        <v>1</v>
      </c>
      <c r="E11" s="12">
        <v>0</v>
      </c>
      <c r="F11" s="29">
        <v>17</v>
      </c>
      <c r="G11" s="30">
        <f t="shared" si="0"/>
        <v>5.8823529411764705E-2</v>
      </c>
      <c r="H11" s="29">
        <v>350</v>
      </c>
      <c r="I11" s="31">
        <f t="shared" si="1"/>
        <v>20.588235294117649</v>
      </c>
      <c r="K11" s="65"/>
      <c r="L11" s="65"/>
    </row>
    <row r="12" spans="1:12" ht="25" customHeight="1" x14ac:dyDescent="0.3">
      <c r="A12" s="88"/>
      <c r="B12" s="20" t="s">
        <v>39</v>
      </c>
      <c r="C12" s="11">
        <v>0</v>
      </c>
      <c r="D12" s="12" t="s">
        <v>41</v>
      </c>
      <c r="E12" s="12"/>
      <c r="F12" s="29"/>
      <c r="G12" s="67"/>
      <c r="H12" s="29"/>
      <c r="I12" s="31"/>
      <c r="K12" s="65"/>
      <c r="L12" s="65"/>
    </row>
    <row r="13" spans="1:12" ht="25" customHeight="1" x14ac:dyDescent="0.3">
      <c r="A13" s="88"/>
      <c r="B13" s="20" t="s">
        <v>43</v>
      </c>
      <c r="C13" s="11">
        <v>0</v>
      </c>
      <c r="D13" s="12">
        <v>1</v>
      </c>
      <c r="E13" s="12">
        <v>0</v>
      </c>
      <c r="F13" s="29">
        <v>38</v>
      </c>
      <c r="G13" s="30">
        <f t="shared" si="0"/>
        <v>2.6315789473684209E-2</v>
      </c>
      <c r="H13" s="29">
        <v>2800</v>
      </c>
      <c r="I13" s="31">
        <f t="shared" si="1"/>
        <v>73.68421052631578</v>
      </c>
      <c r="K13" s="66"/>
      <c r="L13" s="66"/>
    </row>
    <row r="14" spans="1:12" ht="25" customHeight="1" x14ac:dyDescent="0.3">
      <c r="A14" s="89"/>
      <c r="B14" s="20" t="s">
        <v>18</v>
      </c>
      <c r="C14" s="11">
        <v>0</v>
      </c>
      <c r="D14" s="12">
        <v>10</v>
      </c>
      <c r="E14" s="12">
        <v>10</v>
      </c>
      <c r="F14" s="29">
        <v>31</v>
      </c>
      <c r="G14" s="30">
        <f t="shared" si="0"/>
        <v>0.32258064516129031</v>
      </c>
      <c r="H14" s="29">
        <v>230</v>
      </c>
      <c r="I14" s="31">
        <f t="shared" si="1"/>
        <v>0</v>
      </c>
    </row>
    <row r="15" spans="1:12" s="39" customFormat="1" ht="5" customHeight="1" x14ac:dyDescent="0.3">
      <c r="A15" s="49"/>
      <c r="B15" s="56"/>
      <c r="C15" s="50"/>
      <c r="D15" s="51"/>
      <c r="E15" s="51"/>
      <c r="F15" s="52"/>
      <c r="G15" s="53"/>
      <c r="H15" s="52"/>
      <c r="I15" s="54"/>
    </row>
    <row r="16" spans="1:12" ht="25" customHeight="1" x14ac:dyDescent="0.3">
      <c r="A16" s="91" t="s">
        <v>19</v>
      </c>
      <c r="B16" s="21" t="s">
        <v>36</v>
      </c>
      <c r="C16" s="11">
        <v>0</v>
      </c>
      <c r="D16" s="12">
        <v>3</v>
      </c>
      <c r="E16" s="12">
        <v>1</v>
      </c>
      <c r="F16" s="29">
        <v>10</v>
      </c>
      <c r="G16" s="30">
        <f t="shared" si="0"/>
        <v>0.3</v>
      </c>
      <c r="H16" s="29">
        <v>550</v>
      </c>
      <c r="I16" s="31">
        <f t="shared" si="1"/>
        <v>110</v>
      </c>
    </row>
    <row r="17" spans="1:11" ht="25" customHeight="1" x14ac:dyDescent="0.3">
      <c r="A17" s="92"/>
      <c r="B17" s="21" t="s">
        <v>26</v>
      </c>
      <c r="C17" s="11">
        <v>91</v>
      </c>
      <c r="D17" s="12">
        <v>91</v>
      </c>
      <c r="E17" s="12">
        <v>91</v>
      </c>
      <c r="F17" s="29">
        <v>107</v>
      </c>
      <c r="G17" s="30">
        <f t="shared" si="0"/>
        <v>0</v>
      </c>
      <c r="H17" s="29">
        <v>500</v>
      </c>
      <c r="I17" s="31">
        <f t="shared" si="1"/>
        <v>0</v>
      </c>
    </row>
    <row r="18" spans="1:11" ht="25" customHeight="1" x14ac:dyDescent="0.3">
      <c r="A18" s="93"/>
      <c r="B18" s="21" t="s">
        <v>33</v>
      </c>
      <c r="C18" s="11">
        <v>0</v>
      </c>
      <c r="D18" s="12">
        <v>0</v>
      </c>
      <c r="E18" s="12">
        <v>0</v>
      </c>
      <c r="F18" s="29">
        <v>28</v>
      </c>
      <c r="G18" s="30">
        <f t="shared" si="0"/>
        <v>0</v>
      </c>
      <c r="H18" s="29">
        <v>2700</v>
      </c>
      <c r="I18" s="31">
        <f t="shared" si="1"/>
        <v>0</v>
      </c>
    </row>
    <row r="19" spans="1:11" s="39" customFormat="1" ht="5" customHeight="1" x14ac:dyDescent="0.3">
      <c r="A19" s="49"/>
      <c r="B19" s="57"/>
      <c r="C19" s="50"/>
      <c r="D19" s="51"/>
      <c r="E19" s="51"/>
      <c r="F19" s="52"/>
      <c r="G19" s="53"/>
      <c r="H19" s="52"/>
      <c r="I19" s="54"/>
    </row>
    <row r="20" spans="1:11" ht="25" customHeight="1" x14ac:dyDescent="0.3">
      <c r="A20" s="75" t="s">
        <v>22</v>
      </c>
      <c r="B20" s="22" t="s">
        <v>32</v>
      </c>
      <c r="C20" s="11">
        <v>0</v>
      </c>
      <c r="D20" s="12">
        <v>4.0999999999999996</v>
      </c>
      <c r="E20" s="12">
        <v>4.0999999999999996</v>
      </c>
      <c r="F20" s="29">
        <v>28</v>
      </c>
      <c r="G20" s="30">
        <f t="shared" si="0"/>
        <v>0.14642857142857141</v>
      </c>
      <c r="H20" s="29">
        <v>2500</v>
      </c>
      <c r="I20" s="31">
        <f t="shared" si="1"/>
        <v>0</v>
      </c>
    </row>
    <row r="21" spans="1:11" ht="25" customHeight="1" x14ac:dyDescent="0.3">
      <c r="A21" s="76"/>
      <c r="B21" s="22" t="s">
        <v>37</v>
      </c>
      <c r="C21" s="11">
        <v>0</v>
      </c>
      <c r="D21" s="12">
        <v>2</v>
      </c>
      <c r="E21" s="12">
        <v>1</v>
      </c>
      <c r="F21" s="29">
        <v>10</v>
      </c>
      <c r="G21" s="30">
        <f t="shared" si="0"/>
        <v>0.2</v>
      </c>
      <c r="H21" s="29">
        <v>450</v>
      </c>
      <c r="I21" s="31">
        <f t="shared" si="1"/>
        <v>45</v>
      </c>
    </row>
    <row r="22" spans="1:11" s="39" customFormat="1" ht="5" customHeight="1" x14ac:dyDescent="0.3">
      <c r="A22" s="49"/>
      <c r="B22" s="58"/>
      <c r="C22" s="50"/>
      <c r="D22" s="51"/>
      <c r="E22" s="51"/>
      <c r="F22" s="52"/>
      <c r="G22" s="53"/>
      <c r="H22" s="52"/>
      <c r="I22" s="54"/>
    </row>
    <row r="23" spans="1:11" ht="25" customHeight="1" x14ac:dyDescent="0.3">
      <c r="A23" s="77" t="s">
        <v>24</v>
      </c>
      <c r="B23" s="23" t="s">
        <v>34</v>
      </c>
      <c r="C23" s="11">
        <v>72</v>
      </c>
      <c r="D23" s="12">
        <v>72</v>
      </c>
      <c r="E23" s="12">
        <v>72</v>
      </c>
      <c r="F23" s="29">
        <v>103</v>
      </c>
      <c r="G23" s="30">
        <f t="shared" si="0"/>
        <v>0</v>
      </c>
      <c r="H23" s="29">
        <v>630</v>
      </c>
      <c r="I23" s="31">
        <f t="shared" si="1"/>
        <v>0</v>
      </c>
      <c r="K23" s="68"/>
    </row>
    <row r="24" spans="1:11" ht="25" customHeight="1" x14ac:dyDescent="0.3">
      <c r="A24" s="78"/>
      <c r="B24" s="23" t="s">
        <v>38</v>
      </c>
      <c r="C24" s="11">
        <v>0</v>
      </c>
      <c r="D24" s="12">
        <v>2</v>
      </c>
      <c r="E24" s="12">
        <v>2</v>
      </c>
      <c r="F24" s="29">
        <v>10</v>
      </c>
      <c r="G24" s="30">
        <f t="shared" si="0"/>
        <v>0.2</v>
      </c>
      <c r="H24" s="29">
        <v>450</v>
      </c>
      <c r="I24" s="31">
        <f t="shared" si="1"/>
        <v>0</v>
      </c>
    </row>
    <row r="25" spans="1:11" ht="25" customHeight="1" x14ac:dyDescent="0.3">
      <c r="A25" s="79"/>
      <c r="B25" s="24" t="s">
        <v>40</v>
      </c>
      <c r="C25" s="13">
        <v>0</v>
      </c>
      <c r="D25" s="14">
        <v>0</v>
      </c>
      <c r="E25" s="14">
        <v>0</v>
      </c>
      <c r="F25" s="32">
        <v>28</v>
      </c>
      <c r="G25" s="33">
        <f t="shared" si="0"/>
        <v>0</v>
      </c>
      <c r="H25" s="32">
        <v>2300</v>
      </c>
      <c r="I25" s="34">
        <f t="shared" si="1"/>
        <v>0</v>
      </c>
    </row>
    <row r="26" spans="1:11" s="39" customFormat="1" ht="5" customHeight="1" x14ac:dyDescent="0.3">
      <c r="A26" s="42"/>
      <c r="B26" s="43"/>
      <c r="C26" s="44"/>
      <c r="D26" s="45"/>
      <c r="E26" s="45"/>
      <c r="F26" s="46"/>
      <c r="G26" s="47"/>
      <c r="H26" s="46"/>
      <c r="I26" s="48"/>
    </row>
  </sheetData>
  <mergeCells count="8">
    <mergeCell ref="A20:A21"/>
    <mergeCell ref="A23:A25"/>
    <mergeCell ref="K2:L3"/>
    <mergeCell ref="A3:A5"/>
    <mergeCell ref="A7:A8"/>
    <mergeCell ref="A10:A14"/>
    <mergeCell ref="K10:L10"/>
    <mergeCell ref="A16:A18"/>
  </mergeCells>
  <phoneticPr fontId="1" type="noConversion"/>
  <conditionalFormatting sqref="G3:G5 G7:G26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{F2C7290A-30E0-492D-A3C2-A90A93D5DAF9}</x14:id>
        </ext>
      </extLst>
    </cfRule>
  </conditionalFormatting>
  <conditionalFormatting sqref="G16:G19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{8DCCDFC5-613F-4E79-B5ED-39962903C29C}</x14:id>
        </ext>
      </extLst>
    </cfRule>
  </conditionalFormatting>
  <conditionalFormatting sqref="G20:G22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{1A10DECD-A191-4B1A-BF11-18FA744616C5}</x14:id>
        </ext>
      </extLst>
    </cfRule>
  </conditionalFormatting>
  <conditionalFormatting sqref="G23:G26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{15139A63-494F-4A92-9939-2B7CC1EF036C}</x14:id>
        </ext>
      </extLst>
    </cfRule>
  </conditionalFormatting>
  <conditionalFormatting sqref="G7:G8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{694ECCA8-27A3-4876-8460-0B05BB79415D}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{C0744EAF-62B9-4026-90B1-CFA3A1855B07}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{7BD6FA9C-4C0D-4BEE-A852-D2A75733DEDE}</x14:id>
        </ext>
      </extLst>
    </cfRule>
  </conditionalFormatting>
  <conditionalFormatting sqref="G10:G14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{2C99F8AC-73FB-43B5-95C5-A4432AF00FCE}</x14:id>
        </ext>
      </extLst>
    </cfRule>
  </conditionalFormatting>
  <pageMargins left="0.7" right="0.7" top="0.75" bottom="0.75" header="0.3" footer="0.3"/>
  <pageSetup paperSize="9" scale="58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2C7290A-30E0-492D-A3C2-A90A93D5DA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G3:G5 G7:G26</xm:sqref>
        </x14:conditionalFormatting>
        <x14:conditionalFormatting xmlns:xm="http://schemas.microsoft.com/office/excel/2006/main">
          <x14:cfRule type="dataBar" id="{8DCCDFC5-613F-4E79-B5ED-39962903C2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G16:G19</xm:sqref>
        </x14:conditionalFormatting>
        <x14:conditionalFormatting xmlns:xm="http://schemas.microsoft.com/office/excel/2006/main">
          <x14:cfRule type="dataBar" id="{1A10DECD-A191-4B1A-BF11-18FA744616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G20:G22</xm:sqref>
        </x14:conditionalFormatting>
        <x14:conditionalFormatting xmlns:xm="http://schemas.microsoft.com/office/excel/2006/main">
          <x14:cfRule type="dataBar" id="{15139A63-494F-4A92-9939-2B7CC1EF03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G23:G26</xm:sqref>
        </x14:conditionalFormatting>
        <x14:conditionalFormatting xmlns:xm="http://schemas.microsoft.com/office/excel/2006/main">
          <x14:cfRule type="dataBar" id="{694ECCA8-27A3-4876-8460-0B05BB7941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C0744EAF-62B9-4026-90B1-CFA3A1855B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6FA9C-4C0D-4BEE-A852-D2A75733DE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G7:G8</xm:sqref>
        </x14:conditionalFormatting>
        <x14:conditionalFormatting xmlns:xm="http://schemas.microsoft.com/office/excel/2006/main">
          <x14:cfRule type="dataBar" id="{2C99F8AC-73FB-43B5-95C5-A4432AF00F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FB849-238A-456B-9122-728B64B0C2C7}">
  <sheetPr codeName="Sheet2">
    <pageSetUpPr fitToPage="1"/>
  </sheetPr>
  <dimension ref="A1:L23"/>
  <sheetViews>
    <sheetView zoomScaleNormal="100" workbookViewId="0">
      <selection sqref="A1:A1048576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11.33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0">
        <f>SUM(I3:I34)</f>
        <v>497.68713813068649</v>
      </c>
      <c r="L2" s="97"/>
    </row>
    <row r="3" spans="1:12" ht="25" customHeight="1" x14ac:dyDescent="0.3">
      <c r="A3" s="94" t="s">
        <v>7</v>
      </c>
      <c r="B3" s="18" t="s">
        <v>13</v>
      </c>
      <c r="C3" s="11">
        <v>0</v>
      </c>
      <c r="D3" s="12">
        <v>0.8</v>
      </c>
      <c r="E3" s="12">
        <v>0</v>
      </c>
      <c r="F3" s="29">
        <v>13</v>
      </c>
      <c r="G3" s="30">
        <f>(D3-C3)/(F3-C3)</f>
        <v>6.1538461538461542E-2</v>
      </c>
      <c r="H3" s="29">
        <v>700</v>
      </c>
      <c r="I3" s="31">
        <f>((D3-E3)/F3)*H3</f>
        <v>43.07692307692308</v>
      </c>
      <c r="K3" s="97"/>
      <c r="L3" s="97"/>
    </row>
    <row r="4" spans="1:12" ht="25" customHeight="1" x14ac:dyDescent="0.3">
      <c r="A4" s="95"/>
      <c r="B4" s="18" t="s">
        <v>31</v>
      </c>
      <c r="C4" s="11">
        <v>0</v>
      </c>
      <c r="D4" s="60">
        <v>3</v>
      </c>
      <c r="E4" s="60">
        <v>3</v>
      </c>
      <c r="F4" s="59">
        <v>65</v>
      </c>
      <c r="G4" s="30">
        <f t="shared" ref="G4:G22" si="0">(D4-C4)/(F4-C4)</f>
        <v>4.6153846153846156E-2</v>
      </c>
      <c r="H4" s="29">
        <v>1500</v>
      </c>
      <c r="I4" s="31">
        <f t="shared" ref="I4:I22" si="1">((D4-E4)/F4)*H4</f>
        <v>0</v>
      </c>
    </row>
    <row r="5" spans="1:12" ht="25" customHeight="1" x14ac:dyDescent="0.3">
      <c r="A5" s="96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44746</v>
      </c>
      <c r="L5" s="7">
        <v>0.8652777777777777</v>
      </c>
    </row>
    <row r="6" spans="1:12" s="39" customFormat="1" ht="5" customHeight="1" x14ac:dyDescent="0.3">
      <c r="A6" s="62"/>
      <c r="B6" s="63"/>
      <c r="C6" s="63"/>
      <c r="D6" s="63"/>
      <c r="E6" s="63"/>
      <c r="F6" s="63"/>
      <c r="G6" s="64"/>
      <c r="H6" s="52"/>
      <c r="I6" s="54"/>
      <c r="J6" s="36"/>
      <c r="K6" s="37"/>
      <c r="L6" s="38"/>
    </row>
    <row r="7" spans="1:12" ht="25" customHeight="1" x14ac:dyDescent="0.3">
      <c r="A7" s="85" t="s">
        <v>8</v>
      </c>
      <c r="B7" s="19" t="s">
        <v>15</v>
      </c>
      <c r="C7" s="11">
        <v>0</v>
      </c>
      <c r="D7" s="12">
        <v>2.7</v>
      </c>
      <c r="E7" s="12">
        <v>0</v>
      </c>
      <c r="F7" s="29">
        <v>8</v>
      </c>
      <c r="G7" s="30">
        <f t="shared" si="0"/>
        <v>0.33750000000000002</v>
      </c>
      <c r="H7" s="29">
        <v>500</v>
      </c>
      <c r="I7" s="31">
        <f t="shared" si="1"/>
        <v>168.75</v>
      </c>
    </row>
    <row r="8" spans="1:12" ht="25" customHeight="1" x14ac:dyDescent="0.3">
      <c r="A8" s="86"/>
      <c r="B8" s="19" t="s">
        <v>16</v>
      </c>
      <c r="C8" s="11">
        <v>0</v>
      </c>
      <c r="D8" s="12">
        <v>0</v>
      </c>
      <c r="E8" s="12">
        <v>0</v>
      </c>
      <c r="F8" s="29">
        <v>38</v>
      </c>
      <c r="G8" s="30">
        <f t="shared" si="0"/>
        <v>0</v>
      </c>
      <c r="H8" s="29">
        <v>6000</v>
      </c>
      <c r="I8" s="31">
        <f t="shared" si="1"/>
        <v>0</v>
      </c>
      <c r="J8" s="1" t="s">
        <v>30</v>
      </c>
      <c r="K8" s="9"/>
      <c r="L8" s="61"/>
    </row>
    <row r="9" spans="1:12" s="39" customFormat="1" ht="5" customHeight="1" x14ac:dyDescent="0.3">
      <c r="A9" s="49"/>
      <c r="B9" s="55"/>
      <c r="C9" s="50"/>
      <c r="D9" s="51"/>
      <c r="E9" s="51"/>
      <c r="F9" s="52"/>
      <c r="G9" s="53"/>
      <c r="H9" s="52"/>
      <c r="I9" s="54"/>
      <c r="J9" s="36"/>
      <c r="K9" s="40"/>
      <c r="L9" s="41"/>
    </row>
    <row r="10" spans="1:12" ht="25" customHeight="1" x14ac:dyDescent="0.3">
      <c r="A10" s="87" t="s">
        <v>9</v>
      </c>
      <c r="B10" s="20" t="s">
        <v>17</v>
      </c>
      <c r="C10" s="11">
        <v>0</v>
      </c>
      <c r="D10" s="12">
        <v>2</v>
      </c>
      <c r="E10" s="12">
        <v>0</v>
      </c>
      <c r="F10" s="29">
        <v>12</v>
      </c>
      <c r="G10" s="30">
        <f t="shared" si="0"/>
        <v>0.16666666666666666</v>
      </c>
      <c r="H10" s="29">
        <v>400</v>
      </c>
      <c r="I10" s="31">
        <f t="shared" si="1"/>
        <v>66.666666666666657</v>
      </c>
      <c r="K10" s="90"/>
      <c r="L10" s="90"/>
    </row>
    <row r="11" spans="1:12" ht="25" customHeight="1" x14ac:dyDescent="0.3">
      <c r="A11" s="89"/>
      <c r="B11" s="20" t="s">
        <v>18</v>
      </c>
      <c r="C11" s="11">
        <v>0</v>
      </c>
      <c r="D11" s="12">
        <v>10</v>
      </c>
      <c r="E11" s="12">
        <v>0</v>
      </c>
      <c r="F11" s="29">
        <v>31</v>
      </c>
      <c r="G11" s="30">
        <f t="shared" si="0"/>
        <v>0.32258064516129031</v>
      </c>
      <c r="H11" s="29">
        <v>230</v>
      </c>
      <c r="I11" s="31">
        <f t="shared" si="1"/>
        <v>74.193548387096769</v>
      </c>
    </row>
    <row r="12" spans="1:12" s="39" customFormat="1" ht="5" customHeight="1" x14ac:dyDescent="0.3">
      <c r="A12" s="49"/>
      <c r="B12" s="56"/>
      <c r="C12" s="50"/>
      <c r="D12" s="51"/>
      <c r="E12" s="51"/>
      <c r="F12" s="52"/>
      <c r="G12" s="53"/>
      <c r="H12" s="52"/>
      <c r="I12" s="54"/>
    </row>
    <row r="13" spans="1:12" ht="25" customHeight="1" x14ac:dyDescent="0.3">
      <c r="A13" s="91" t="s">
        <v>19</v>
      </c>
      <c r="B13" s="21" t="s">
        <v>36</v>
      </c>
      <c r="C13" s="11">
        <v>0</v>
      </c>
      <c r="D13" s="12">
        <v>1</v>
      </c>
      <c r="E13" s="12">
        <v>0</v>
      </c>
      <c r="F13" s="29">
        <v>10</v>
      </c>
      <c r="G13" s="30">
        <f t="shared" si="0"/>
        <v>0.1</v>
      </c>
      <c r="H13" s="29">
        <v>550</v>
      </c>
      <c r="I13" s="31">
        <f t="shared" si="1"/>
        <v>55</v>
      </c>
    </row>
    <row r="14" spans="1:12" ht="25" customHeight="1" x14ac:dyDescent="0.3">
      <c r="A14" s="92"/>
      <c r="B14" s="21" t="s">
        <v>26</v>
      </c>
      <c r="C14" s="11">
        <v>91</v>
      </c>
      <c r="D14" s="12">
        <v>91</v>
      </c>
      <c r="E14" s="12">
        <v>91</v>
      </c>
      <c r="F14" s="29">
        <v>107</v>
      </c>
      <c r="G14" s="30">
        <f t="shared" si="0"/>
        <v>0</v>
      </c>
      <c r="H14" s="29">
        <v>500</v>
      </c>
      <c r="I14" s="31">
        <f t="shared" si="1"/>
        <v>0</v>
      </c>
    </row>
    <row r="15" spans="1:12" ht="25" customHeight="1" x14ac:dyDescent="0.3">
      <c r="A15" s="93"/>
      <c r="B15" s="21" t="s">
        <v>33</v>
      </c>
      <c r="C15" s="11">
        <v>0</v>
      </c>
      <c r="D15" s="12">
        <v>0</v>
      </c>
      <c r="E15" s="12">
        <v>0</v>
      </c>
      <c r="F15" s="29">
        <v>28</v>
      </c>
      <c r="G15" s="30">
        <f t="shared" si="0"/>
        <v>0</v>
      </c>
      <c r="H15" s="29">
        <v>2700</v>
      </c>
      <c r="I15" s="31">
        <f t="shared" si="1"/>
        <v>0</v>
      </c>
    </row>
    <row r="16" spans="1:12" s="39" customFormat="1" ht="5" customHeight="1" x14ac:dyDescent="0.3">
      <c r="A16" s="49"/>
      <c r="B16" s="57"/>
      <c r="C16" s="50"/>
      <c r="D16" s="51"/>
      <c r="E16" s="51"/>
      <c r="F16" s="52"/>
      <c r="G16" s="53"/>
      <c r="H16" s="52"/>
      <c r="I16" s="54"/>
    </row>
    <row r="17" spans="1:9" ht="25" customHeight="1" x14ac:dyDescent="0.3">
      <c r="A17" s="75" t="s">
        <v>22</v>
      </c>
      <c r="B17" s="22" t="s">
        <v>32</v>
      </c>
      <c r="C17" s="11">
        <v>0</v>
      </c>
      <c r="D17" s="12">
        <v>4.0999999999999996</v>
      </c>
      <c r="E17" s="12">
        <v>4.0999999999999996</v>
      </c>
      <c r="F17" s="29">
        <v>28</v>
      </c>
      <c r="G17" s="30">
        <f t="shared" si="0"/>
        <v>0.14642857142857141</v>
      </c>
      <c r="H17" s="29">
        <v>2500</v>
      </c>
      <c r="I17" s="31">
        <f t="shared" si="1"/>
        <v>0</v>
      </c>
    </row>
    <row r="18" spans="1:9" ht="25" customHeight="1" x14ac:dyDescent="0.3">
      <c r="A18" s="76"/>
      <c r="B18" s="22" t="s">
        <v>37</v>
      </c>
      <c r="C18" s="11">
        <v>0</v>
      </c>
      <c r="D18" s="12">
        <v>1</v>
      </c>
      <c r="E18" s="12">
        <v>1</v>
      </c>
      <c r="F18" s="29">
        <v>10</v>
      </c>
      <c r="G18" s="30">
        <f t="shared" si="0"/>
        <v>0.1</v>
      </c>
      <c r="H18" s="29">
        <v>450</v>
      </c>
      <c r="I18" s="31">
        <f t="shared" si="1"/>
        <v>0</v>
      </c>
    </row>
    <row r="19" spans="1:9" s="39" customFormat="1" ht="5" customHeight="1" x14ac:dyDescent="0.3">
      <c r="A19" s="49"/>
      <c r="B19" s="58"/>
      <c r="C19" s="50"/>
      <c r="D19" s="51"/>
      <c r="E19" s="51"/>
      <c r="F19" s="52"/>
      <c r="G19" s="53"/>
      <c r="H19" s="52"/>
      <c r="I19" s="54"/>
    </row>
    <row r="20" spans="1:9" ht="25" customHeight="1" x14ac:dyDescent="0.3">
      <c r="A20" s="77" t="s">
        <v>24</v>
      </c>
      <c r="B20" s="23" t="s">
        <v>34</v>
      </c>
      <c r="C20" s="11">
        <v>72</v>
      </c>
      <c r="D20" s="12">
        <v>72</v>
      </c>
      <c r="E20" s="12">
        <v>72</v>
      </c>
      <c r="F20" s="29">
        <v>103</v>
      </c>
      <c r="G20" s="30">
        <f t="shared" si="0"/>
        <v>0</v>
      </c>
      <c r="H20" s="29">
        <v>630</v>
      </c>
      <c r="I20" s="31">
        <f t="shared" si="1"/>
        <v>0</v>
      </c>
    </row>
    <row r="21" spans="1:9" ht="25" customHeight="1" x14ac:dyDescent="0.3">
      <c r="A21" s="78"/>
      <c r="B21" s="23" t="s">
        <v>38</v>
      </c>
      <c r="C21" s="11">
        <v>0</v>
      </c>
      <c r="D21" s="12">
        <v>2</v>
      </c>
      <c r="E21" s="12">
        <v>0</v>
      </c>
      <c r="F21" s="29">
        <v>10</v>
      </c>
      <c r="G21" s="30">
        <f t="shared" si="0"/>
        <v>0.2</v>
      </c>
      <c r="H21" s="29">
        <v>450</v>
      </c>
      <c r="I21" s="31">
        <f t="shared" si="1"/>
        <v>90</v>
      </c>
    </row>
    <row r="22" spans="1:9" ht="25" customHeight="1" x14ac:dyDescent="0.3">
      <c r="A22" s="79"/>
      <c r="B22" s="24" t="s">
        <v>35</v>
      </c>
      <c r="C22" s="13">
        <v>0</v>
      </c>
      <c r="D22" s="14">
        <v>0</v>
      </c>
      <c r="E22" s="14">
        <v>0</v>
      </c>
      <c r="F22" s="32">
        <v>28</v>
      </c>
      <c r="G22" s="33">
        <f t="shared" si="0"/>
        <v>0</v>
      </c>
      <c r="H22" s="32">
        <v>2300</v>
      </c>
      <c r="I22" s="34">
        <f t="shared" si="1"/>
        <v>0</v>
      </c>
    </row>
    <row r="23" spans="1:9" s="39" customFormat="1" ht="5" customHeight="1" x14ac:dyDescent="0.3">
      <c r="A23" s="42"/>
      <c r="B23" s="43"/>
      <c r="C23" s="44"/>
      <c r="D23" s="45"/>
      <c r="E23" s="45"/>
      <c r="F23" s="46"/>
      <c r="G23" s="47"/>
      <c r="H23" s="46"/>
      <c r="I23" s="48"/>
    </row>
  </sheetData>
  <mergeCells count="8">
    <mergeCell ref="A17:A18"/>
    <mergeCell ref="A20:A22"/>
    <mergeCell ref="K2:L3"/>
    <mergeCell ref="A3:A5"/>
    <mergeCell ref="A7:A8"/>
    <mergeCell ref="A10:A11"/>
    <mergeCell ref="K10:L10"/>
    <mergeCell ref="A13:A15"/>
  </mergeCells>
  <phoneticPr fontId="1" type="noConversion"/>
  <conditionalFormatting sqref="G3:G5 G7:G23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{8939DDEE-A4A0-452B-8513-53CE743513FE}</x14:id>
        </ext>
      </extLst>
    </cfRule>
  </conditionalFormatting>
  <conditionalFormatting sqref="G13:G16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{11640BB5-16A1-41C8-9345-A98ECA89840D}</x14:id>
        </ext>
      </extLst>
    </cfRule>
  </conditionalFormatting>
  <conditionalFormatting sqref="G17:G19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{C26FE49B-A185-479E-9676-76B732F798E8}</x14:id>
        </ext>
      </extLst>
    </cfRule>
  </conditionalFormatting>
  <conditionalFormatting sqref="G20:G23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{2C858588-4B6F-4EF9-8C67-61C56111CA98}</x14:id>
        </ext>
      </extLst>
    </cfRule>
  </conditionalFormatting>
  <conditionalFormatting sqref="G7:G8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{B4F23F6E-EB52-4E76-B3F5-D5BE66E619FD}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{F12DD3AA-4300-4412-856E-79574F805492}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{184EE872-7E55-4A01-9417-FA1E68ABCF68}</x14:id>
        </ext>
      </extLst>
    </cfRule>
  </conditionalFormatting>
  <conditionalFormatting sqref="G10:G11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{E146BF67-4AE0-4D22-B6A2-A35392414677}</x14:id>
        </ext>
      </extLst>
    </cfRule>
  </conditionalFormatting>
  <pageMargins left="0.7" right="0.7" top="0.75" bottom="0.75" header="0.3" footer="0.3"/>
  <pageSetup paperSize="9" scale="58" orientation="landscape" verticalDpi="0" r:id="rId1"/>
  <drawing r:id="rId2"/>
  <webPublishItems count="1">
    <webPublishItem id="12012" divId="暑假任务跟踪表_12012" sourceType="sheet" destinationFile="C:\Users\Kyle Mao\Desktop\暑假任务跟踪表.htm" title="Summer Holiday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39DDEE-A4A0-452B-8513-53CE743513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G3:G5 G7:G23</xm:sqref>
        </x14:conditionalFormatting>
        <x14:conditionalFormatting xmlns:xm="http://schemas.microsoft.com/office/excel/2006/main">
          <x14:cfRule type="dataBar" id="{11640BB5-16A1-41C8-9345-A98ECA8984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G13:G16</xm:sqref>
        </x14:conditionalFormatting>
        <x14:conditionalFormatting xmlns:xm="http://schemas.microsoft.com/office/excel/2006/main">
          <x14:cfRule type="dataBar" id="{C26FE49B-A185-479E-9676-76B732F798E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G17:G19</xm:sqref>
        </x14:conditionalFormatting>
        <x14:conditionalFormatting xmlns:xm="http://schemas.microsoft.com/office/excel/2006/main">
          <x14:cfRule type="dataBar" id="{2C858588-4B6F-4EF9-8C67-61C56111CA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G20:G23</xm:sqref>
        </x14:conditionalFormatting>
        <x14:conditionalFormatting xmlns:xm="http://schemas.microsoft.com/office/excel/2006/main">
          <x14:cfRule type="dataBar" id="{B4F23F6E-EB52-4E76-B3F5-D5BE66E619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F12DD3AA-4300-4412-856E-79574F8054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84EE872-7E55-4A01-9417-FA1E68ABCF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G7:G8</xm:sqref>
        </x14:conditionalFormatting>
        <x14:conditionalFormatting xmlns:xm="http://schemas.microsoft.com/office/excel/2006/main">
          <x14:cfRule type="dataBar" id="{E146BF67-4AE0-4D22-B6A2-A353924146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2D37-9BE6-4617-9F0D-C4747042C15E}">
  <sheetPr codeName="Sheet1">
    <pageSetUpPr fitToPage="1"/>
  </sheetPr>
  <dimension ref="A1:L23"/>
  <sheetViews>
    <sheetView zoomScaleNormal="100" workbookViewId="0">
      <selection activeCell="B26" sqref="B26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11.33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0">
        <f>SUM(I3:I34)</f>
        <v>56.25</v>
      </c>
      <c r="L2" s="97"/>
    </row>
    <row r="3" spans="1:12" ht="25" customHeight="1" x14ac:dyDescent="0.3">
      <c r="A3" s="100" t="s">
        <v>7</v>
      </c>
      <c r="B3" s="18" t="s">
        <v>13</v>
      </c>
      <c r="C3" s="11">
        <v>0</v>
      </c>
      <c r="D3" s="12">
        <v>0</v>
      </c>
      <c r="E3" s="12">
        <v>0</v>
      </c>
      <c r="F3" s="29">
        <v>13</v>
      </c>
      <c r="G3" s="30">
        <f>(D3-C3)/(F3-C3)</f>
        <v>0</v>
      </c>
      <c r="H3" s="29">
        <v>700</v>
      </c>
      <c r="I3" s="31">
        <f>((D3-E3)/F3)*H3</f>
        <v>0</v>
      </c>
      <c r="K3" s="97"/>
      <c r="L3" s="97"/>
    </row>
    <row r="4" spans="1:12" ht="25" customHeight="1" x14ac:dyDescent="0.3">
      <c r="A4" s="100"/>
      <c r="B4" s="18" t="s">
        <v>31</v>
      </c>
      <c r="C4" s="11">
        <v>0</v>
      </c>
      <c r="D4" s="60">
        <v>3</v>
      </c>
      <c r="E4" s="60">
        <v>3</v>
      </c>
      <c r="F4" s="59">
        <v>65</v>
      </c>
      <c r="G4" s="30">
        <f t="shared" ref="G4:G22" si="0">(D4-C4)/(F4-C4)</f>
        <v>4.6153846153846156E-2</v>
      </c>
      <c r="H4" s="29">
        <v>1500</v>
      </c>
      <c r="I4" s="31">
        <f t="shared" ref="I4:I22" si="1">((D4-E4)/F4)*H4</f>
        <v>0</v>
      </c>
    </row>
    <row r="5" spans="1:12" ht="25" customHeight="1" x14ac:dyDescent="0.3">
      <c r="A5" s="100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44745</v>
      </c>
      <c r="L5" s="7">
        <v>0.6479166666666667</v>
      </c>
    </row>
    <row r="6" spans="1:12" s="39" customFormat="1" ht="5" customHeight="1" x14ac:dyDescent="0.3">
      <c r="A6" s="49"/>
      <c r="B6" s="63"/>
      <c r="C6" s="50"/>
      <c r="D6" s="51"/>
      <c r="E6" s="51"/>
      <c r="F6" s="52"/>
      <c r="G6" s="53"/>
      <c r="H6" s="52"/>
      <c r="I6" s="54"/>
      <c r="J6" s="36"/>
      <c r="K6" s="37"/>
      <c r="L6" s="38"/>
    </row>
    <row r="7" spans="1:12" ht="25" customHeight="1" x14ac:dyDescent="0.3">
      <c r="A7" s="101" t="s">
        <v>8</v>
      </c>
      <c r="B7" s="19" t="s">
        <v>15</v>
      </c>
      <c r="C7" s="11">
        <v>0</v>
      </c>
      <c r="D7" s="12">
        <v>0</v>
      </c>
      <c r="E7" s="12">
        <v>0</v>
      </c>
      <c r="F7" s="29">
        <v>8</v>
      </c>
      <c r="G7" s="30">
        <f t="shared" si="0"/>
        <v>0</v>
      </c>
      <c r="H7" s="29">
        <v>500</v>
      </c>
      <c r="I7" s="31">
        <f t="shared" si="1"/>
        <v>0</v>
      </c>
    </row>
    <row r="8" spans="1:12" ht="25" customHeight="1" x14ac:dyDescent="0.3">
      <c r="A8" s="101"/>
      <c r="B8" s="19" t="s">
        <v>16</v>
      </c>
      <c r="C8" s="11">
        <v>0</v>
      </c>
      <c r="D8" s="12">
        <v>0</v>
      </c>
      <c r="E8" s="12">
        <v>0</v>
      </c>
      <c r="F8" s="29">
        <v>38</v>
      </c>
      <c r="G8" s="30">
        <f t="shared" si="0"/>
        <v>0</v>
      </c>
      <c r="H8" s="29">
        <v>6000</v>
      </c>
      <c r="I8" s="31">
        <f t="shared" si="1"/>
        <v>0</v>
      </c>
      <c r="J8" s="1" t="s">
        <v>30</v>
      </c>
      <c r="K8" s="9"/>
      <c r="L8" s="10"/>
    </row>
    <row r="9" spans="1:12" s="39" customFormat="1" ht="5" customHeight="1" x14ac:dyDescent="0.3">
      <c r="A9" s="49"/>
      <c r="B9" s="55"/>
      <c r="C9" s="50"/>
      <c r="D9" s="51"/>
      <c r="E9" s="51"/>
      <c r="F9" s="52"/>
      <c r="G9" s="53"/>
      <c r="H9" s="52"/>
      <c r="I9" s="54"/>
      <c r="J9" s="36"/>
      <c r="K9" s="40"/>
      <c r="L9" s="41"/>
    </row>
    <row r="10" spans="1:12" ht="25" customHeight="1" x14ac:dyDescent="0.3">
      <c r="A10" s="102" t="s">
        <v>9</v>
      </c>
      <c r="B10" s="20" t="s">
        <v>17</v>
      </c>
      <c r="C10" s="11">
        <v>0</v>
      </c>
      <c r="D10" s="12">
        <v>0</v>
      </c>
      <c r="E10" s="12">
        <v>0</v>
      </c>
      <c r="F10" s="29">
        <v>12</v>
      </c>
      <c r="G10" s="30">
        <f t="shared" si="0"/>
        <v>0</v>
      </c>
      <c r="H10" s="29">
        <v>400</v>
      </c>
      <c r="I10" s="31">
        <f t="shared" si="1"/>
        <v>0</v>
      </c>
      <c r="K10" s="90"/>
      <c r="L10" s="90"/>
    </row>
    <row r="11" spans="1:12" ht="25" customHeight="1" x14ac:dyDescent="0.3">
      <c r="A11" s="102"/>
      <c r="B11" s="20" t="s">
        <v>18</v>
      </c>
      <c r="C11" s="11">
        <v>0</v>
      </c>
      <c r="D11" s="12">
        <v>0</v>
      </c>
      <c r="E11" s="12">
        <v>0</v>
      </c>
      <c r="F11" s="29">
        <v>31</v>
      </c>
      <c r="G11" s="30">
        <f t="shared" si="0"/>
        <v>0</v>
      </c>
      <c r="H11" s="29">
        <v>230</v>
      </c>
      <c r="I11" s="31">
        <f t="shared" si="1"/>
        <v>0</v>
      </c>
    </row>
    <row r="12" spans="1:12" s="39" customFormat="1" ht="5" customHeight="1" x14ac:dyDescent="0.3">
      <c r="A12" s="49"/>
      <c r="B12" s="56"/>
      <c r="C12" s="50"/>
      <c r="D12" s="51"/>
      <c r="E12" s="51"/>
      <c r="F12" s="52"/>
      <c r="G12" s="53"/>
      <c r="H12" s="52"/>
      <c r="I12" s="54"/>
    </row>
    <row r="13" spans="1:12" ht="25" customHeight="1" x14ac:dyDescent="0.3">
      <c r="A13" s="103" t="s">
        <v>19</v>
      </c>
      <c r="B13" s="21" t="s">
        <v>27</v>
      </c>
      <c r="C13" s="11">
        <v>0</v>
      </c>
      <c r="D13" s="12">
        <v>0</v>
      </c>
      <c r="E13" s="12">
        <v>0</v>
      </c>
      <c r="F13" s="29">
        <v>8</v>
      </c>
      <c r="G13" s="30">
        <f t="shared" si="0"/>
        <v>0</v>
      </c>
      <c r="H13" s="29">
        <v>550</v>
      </c>
      <c r="I13" s="31">
        <f t="shared" si="1"/>
        <v>0</v>
      </c>
    </row>
    <row r="14" spans="1:12" ht="25" customHeight="1" x14ac:dyDescent="0.3">
      <c r="A14" s="103"/>
      <c r="B14" s="21" t="s">
        <v>26</v>
      </c>
      <c r="C14" s="11">
        <v>91</v>
      </c>
      <c r="D14" s="12">
        <v>91</v>
      </c>
      <c r="E14" s="12">
        <v>91</v>
      </c>
      <c r="F14" s="29">
        <v>107</v>
      </c>
      <c r="G14" s="30">
        <f t="shared" si="0"/>
        <v>0</v>
      </c>
      <c r="H14" s="29">
        <v>500</v>
      </c>
      <c r="I14" s="31">
        <f t="shared" si="1"/>
        <v>0</v>
      </c>
    </row>
    <row r="15" spans="1:12" ht="25" customHeight="1" x14ac:dyDescent="0.3">
      <c r="A15" s="103"/>
      <c r="B15" s="21" t="s">
        <v>21</v>
      </c>
      <c r="C15" s="11">
        <v>0</v>
      </c>
      <c r="D15" s="12">
        <v>0</v>
      </c>
      <c r="E15" s="12">
        <v>0</v>
      </c>
      <c r="F15" s="29">
        <v>28</v>
      </c>
      <c r="G15" s="30">
        <f t="shared" si="0"/>
        <v>0</v>
      </c>
      <c r="H15" s="29">
        <v>2700</v>
      </c>
      <c r="I15" s="31">
        <f t="shared" si="1"/>
        <v>0</v>
      </c>
    </row>
    <row r="16" spans="1:12" s="39" customFormat="1" ht="5" customHeight="1" x14ac:dyDescent="0.3">
      <c r="A16" s="49"/>
      <c r="B16" s="57"/>
      <c r="C16" s="50"/>
      <c r="D16" s="51"/>
      <c r="E16" s="51"/>
      <c r="F16" s="52"/>
      <c r="G16" s="53"/>
      <c r="H16" s="52"/>
      <c r="I16" s="54"/>
    </row>
    <row r="17" spans="1:9" ht="25" customHeight="1" x14ac:dyDescent="0.3">
      <c r="A17" s="104" t="s">
        <v>22</v>
      </c>
      <c r="B17" s="22" t="s">
        <v>23</v>
      </c>
      <c r="C17" s="11">
        <v>0</v>
      </c>
      <c r="D17" s="12">
        <v>4.0999999999999996</v>
      </c>
      <c r="E17" s="12">
        <v>4.0999999999999996</v>
      </c>
      <c r="F17" s="29">
        <v>28</v>
      </c>
      <c r="G17" s="30">
        <f t="shared" si="0"/>
        <v>0.14642857142857141</v>
      </c>
      <c r="H17" s="29">
        <v>2500</v>
      </c>
      <c r="I17" s="31">
        <f t="shared" si="1"/>
        <v>0</v>
      </c>
    </row>
    <row r="18" spans="1:9" ht="25" customHeight="1" x14ac:dyDescent="0.3">
      <c r="A18" s="104" t="s">
        <v>22</v>
      </c>
      <c r="B18" s="22" t="s">
        <v>20</v>
      </c>
      <c r="C18" s="11">
        <v>0</v>
      </c>
      <c r="D18" s="12">
        <v>1</v>
      </c>
      <c r="E18" s="12">
        <v>0</v>
      </c>
      <c r="F18" s="29">
        <v>8</v>
      </c>
      <c r="G18" s="30">
        <f t="shared" si="0"/>
        <v>0.125</v>
      </c>
      <c r="H18" s="29">
        <v>450</v>
      </c>
      <c r="I18" s="31">
        <f t="shared" si="1"/>
        <v>56.25</v>
      </c>
    </row>
    <row r="19" spans="1:9" s="39" customFormat="1" ht="5" customHeight="1" x14ac:dyDescent="0.3">
      <c r="A19" s="49"/>
      <c r="B19" s="58"/>
      <c r="C19" s="50"/>
      <c r="D19" s="51"/>
      <c r="E19" s="51"/>
      <c r="F19" s="52"/>
      <c r="G19" s="53"/>
      <c r="H19" s="52"/>
      <c r="I19" s="54"/>
    </row>
    <row r="20" spans="1:9" ht="25" customHeight="1" x14ac:dyDescent="0.3">
      <c r="A20" s="98" t="s">
        <v>24</v>
      </c>
      <c r="B20" s="23" t="s">
        <v>25</v>
      </c>
      <c r="C20" s="11">
        <v>72</v>
      </c>
      <c r="D20" s="12">
        <v>72</v>
      </c>
      <c r="E20" s="12">
        <v>72</v>
      </c>
      <c r="F20" s="29">
        <v>103</v>
      </c>
      <c r="G20" s="30">
        <f t="shared" si="0"/>
        <v>0</v>
      </c>
      <c r="H20" s="29">
        <v>630</v>
      </c>
      <c r="I20" s="31">
        <f t="shared" si="1"/>
        <v>0</v>
      </c>
    </row>
    <row r="21" spans="1:9" ht="25" customHeight="1" x14ac:dyDescent="0.3">
      <c r="A21" s="98"/>
      <c r="B21" s="23" t="s">
        <v>20</v>
      </c>
      <c r="C21" s="11">
        <v>0</v>
      </c>
      <c r="D21" s="12">
        <v>0</v>
      </c>
      <c r="E21" s="12">
        <v>0</v>
      </c>
      <c r="F21" s="29">
        <v>8</v>
      </c>
      <c r="G21" s="30">
        <f t="shared" si="0"/>
        <v>0</v>
      </c>
      <c r="H21" s="29">
        <v>450</v>
      </c>
      <c r="I21" s="31">
        <f t="shared" si="1"/>
        <v>0</v>
      </c>
    </row>
    <row r="22" spans="1:9" ht="25" customHeight="1" x14ac:dyDescent="0.3">
      <c r="A22" s="99"/>
      <c r="B22" s="24" t="s">
        <v>23</v>
      </c>
      <c r="C22" s="13">
        <v>0</v>
      </c>
      <c r="D22" s="14">
        <v>0</v>
      </c>
      <c r="E22" s="14">
        <v>0</v>
      </c>
      <c r="F22" s="32">
        <v>28</v>
      </c>
      <c r="G22" s="33">
        <f t="shared" si="0"/>
        <v>0</v>
      </c>
      <c r="H22" s="32">
        <v>2300</v>
      </c>
      <c r="I22" s="34">
        <f t="shared" si="1"/>
        <v>0</v>
      </c>
    </row>
    <row r="23" spans="1:9" s="39" customFormat="1" ht="5" customHeight="1" x14ac:dyDescent="0.3">
      <c r="A23" s="42"/>
      <c r="B23" s="43"/>
      <c r="C23" s="44"/>
      <c r="D23" s="45"/>
      <c r="E23" s="45"/>
      <c r="F23" s="46"/>
      <c r="G23" s="47"/>
      <c r="H23" s="46"/>
      <c r="I23" s="48"/>
    </row>
  </sheetData>
  <mergeCells count="8">
    <mergeCell ref="A20:A22"/>
    <mergeCell ref="K10:L10"/>
    <mergeCell ref="A3:A5"/>
    <mergeCell ref="A7:A8"/>
    <mergeCell ref="A10:A11"/>
    <mergeCell ref="K2:L3"/>
    <mergeCell ref="A13:A15"/>
    <mergeCell ref="A17:A18"/>
  </mergeCells>
  <phoneticPr fontId="1" type="noConversion"/>
  <conditionalFormatting sqref="G3:G23">
    <cfRule type="dataBar" priority="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{73915BA5-C60D-49A1-9906-A9764F06642F}</x14:id>
        </ext>
      </extLst>
    </cfRule>
  </conditionalFormatting>
  <conditionalFormatting sqref="G13:G16">
    <cfRule type="dataBar" priority="3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{4C0F7838-BA28-4A6C-B0F2-7B36475B7073}</x14:id>
        </ext>
      </extLst>
    </cfRule>
  </conditionalFormatting>
  <conditionalFormatting sqref="G17:G19">
    <cfRule type="dataBar" priority="2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{2B21B17F-B721-49E4-BA4B-06B11433E7BF}</x14:id>
        </ext>
      </extLst>
    </cfRule>
  </conditionalFormatting>
  <conditionalFormatting sqref="G20:G23">
    <cfRule type="dataBar" priority="1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{819CA8B9-8631-4F88-A08A-0D6CC16C46F3}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915BA5-C60D-49A1-9906-A9764F0664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G3:G23</xm:sqref>
        </x14:conditionalFormatting>
        <x14:conditionalFormatting xmlns:xm="http://schemas.microsoft.com/office/excel/2006/main">
          <x14:cfRule type="dataBar" id="{4C0F7838-BA28-4A6C-B0F2-7B36475B70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G13:G16</xm:sqref>
        </x14:conditionalFormatting>
        <x14:conditionalFormatting xmlns:xm="http://schemas.microsoft.com/office/excel/2006/main">
          <x14:cfRule type="dataBar" id="{2B21B17F-B721-49E4-BA4B-06B11433E7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G17:G19</xm:sqref>
        </x14:conditionalFormatting>
        <x14:conditionalFormatting xmlns:xm="http://schemas.microsoft.com/office/excel/2006/main">
          <x14:cfRule type="dataBar" id="{819CA8B9-8631-4F88-A08A-0D6CC16C46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12425E8E6BB814DAB00BC82E95A2980" ma:contentTypeVersion="11" ma:contentTypeDescription="Create a new document." ma:contentTypeScope="" ma:versionID="6dfc15b50aafe030931f4eda71aa1fde">
  <xsd:schema xmlns:xsd="http://www.w3.org/2001/XMLSchema" xmlns:xs="http://www.w3.org/2001/XMLSchema" xmlns:p="http://schemas.microsoft.com/office/2006/metadata/properties" xmlns:ns3="1582d156-29f3-43bd-8385-dd95fae89446" targetNamespace="http://schemas.microsoft.com/office/2006/metadata/properties" ma:root="true" ma:fieldsID="f9a53f511ca82df71d70e06269b8342c" ns3:_="">
    <xsd:import namespace="1582d156-29f3-43bd-8385-dd95fae8944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82d156-29f3-43bd-8385-dd95fae894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E20634C-9572-40BE-A1AC-04D0C0B31F2A}">
  <ds:schemaRefs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1582d156-29f3-43bd-8385-dd95fae89446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1FF2695-977E-4541-A089-746AD5AFB3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582d156-29f3-43bd-8385-dd95fae894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8E5B05-6876-4316-AF02-DE5C16DDBF8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7.7</vt:lpstr>
      <vt:lpstr>7.6</vt:lpstr>
      <vt:lpstr>7.5</vt:lpstr>
      <vt:lpstr>7.4</vt:lpstr>
      <vt:lpstr>7.3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Mao</dc:creator>
  <cp:lastModifiedBy>Kyle Mao</cp:lastModifiedBy>
  <cp:lastPrinted>2022-07-07T03:04:04Z</cp:lastPrinted>
  <dcterms:created xsi:type="dcterms:W3CDTF">2022-07-03T03:09:30Z</dcterms:created>
  <dcterms:modified xsi:type="dcterms:W3CDTF">2022-07-07T03:04:05Z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0x010100412425E8E6BB814DAB00BC82E95A2980</vt:lpwstr>
  </property>
</Properties>
</file>