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mao2021\My Documents\暑假任务跟踪表\"/>
    </mc:Choice>
  </mc:AlternateContent>
  <xr:revisionPtr revIDLastSave="0" documentId="13_ncr:1_{38C9242F-2374-4E12-AF16-F9EDC1A7A675}" xr6:coauthVersionLast="47" xr6:coauthVersionMax="47" xr10:uidLastSave="{00000000-0000-0000-0000-000000000000}"/>
  <bookViews>
    <workbookView xWindow="-110" yWindow="-110" windowWidth="25820" windowHeight="15500" xr2:uid="{1F734ADD-3C23-4275-B183-0DB65E09A3F9}"/>
  </bookViews>
  <sheets>
    <sheet name="7.25" sheetId="25" r:id="rId1"/>
    <sheet name="7.24" sheetId="24" r:id="rId2"/>
    <sheet name="7.23" sheetId="23" r:id="rId3"/>
    <sheet name="7.22" sheetId="22" r:id="rId4"/>
    <sheet name="7.21" sheetId="21" r:id="rId5"/>
    <sheet name="7.20" sheetId="20" r:id="rId6"/>
    <sheet name="7.19" sheetId="19" r:id="rId7"/>
    <sheet name="7.18" sheetId="18" r:id="rId8"/>
    <sheet name="7.17" sheetId="17" r:id="rId9"/>
    <sheet name="7.16" sheetId="15" r:id="rId10"/>
    <sheet name="7.15" sheetId="14" r:id="rId11"/>
    <sheet name="7.14" sheetId="16" r:id="rId12"/>
    <sheet name="7.13" sheetId="13" r:id="rId13"/>
    <sheet name="7.12" sheetId="12" r:id="rId14"/>
    <sheet name="7.11" sheetId="10" r:id="rId15"/>
    <sheet name="7.10" sheetId="9" r:id="rId16"/>
    <sheet name="7.9" sheetId="8" r:id="rId17"/>
    <sheet name="7.8" sheetId="7" r:id="rId18"/>
    <sheet name="7.7" sheetId="6" r:id="rId19"/>
    <sheet name="7.6" sheetId="5" r:id="rId20"/>
    <sheet name="7.5" sheetId="4" r:id="rId21"/>
    <sheet name="7.4" sheetId="2" r:id="rId22"/>
    <sheet name="7.3" sheetId="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1" i="25" l="1"/>
  <c r="G31" i="25"/>
  <c r="I30" i="25"/>
  <c r="G30" i="25"/>
  <c r="I29" i="25"/>
  <c r="G29" i="25"/>
  <c r="I27" i="25"/>
  <c r="G27" i="25"/>
  <c r="I26" i="25"/>
  <c r="G26" i="25"/>
  <c r="I24" i="25"/>
  <c r="G24" i="25"/>
  <c r="I23" i="25"/>
  <c r="G23" i="25"/>
  <c r="I21" i="25"/>
  <c r="G21" i="25"/>
  <c r="I19" i="25"/>
  <c r="G19" i="25"/>
  <c r="I18" i="25"/>
  <c r="G18" i="25"/>
  <c r="I17" i="25"/>
  <c r="G17" i="25"/>
  <c r="I15" i="25"/>
  <c r="G15" i="25"/>
  <c r="I13" i="25"/>
  <c r="G13" i="25"/>
  <c r="I11" i="25"/>
  <c r="G11" i="25"/>
  <c r="I9" i="25"/>
  <c r="G9" i="25"/>
  <c r="I8" i="25"/>
  <c r="G8" i="25"/>
  <c r="I6" i="25"/>
  <c r="G6" i="25"/>
  <c r="I5" i="25"/>
  <c r="G5" i="25"/>
  <c r="I4" i="25"/>
  <c r="G4" i="25"/>
  <c r="I3" i="25"/>
  <c r="G3" i="25"/>
  <c r="I4" i="24"/>
  <c r="I31" i="24"/>
  <c r="G31" i="24"/>
  <c r="I30" i="24"/>
  <c r="G30" i="24"/>
  <c r="I29" i="24"/>
  <c r="G29" i="24"/>
  <c r="I27" i="24"/>
  <c r="G27" i="24"/>
  <c r="I26" i="24"/>
  <c r="G26" i="24"/>
  <c r="I24" i="24"/>
  <c r="G24" i="24"/>
  <c r="I23" i="24"/>
  <c r="G23" i="24"/>
  <c r="I21" i="24"/>
  <c r="G21" i="24"/>
  <c r="I19" i="24"/>
  <c r="G19" i="24"/>
  <c r="I18" i="24"/>
  <c r="G18" i="24"/>
  <c r="I17" i="24"/>
  <c r="G17" i="24"/>
  <c r="I15" i="24"/>
  <c r="G15" i="24"/>
  <c r="I13" i="24"/>
  <c r="G13" i="24"/>
  <c r="I11" i="24"/>
  <c r="G11" i="24"/>
  <c r="I9" i="24"/>
  <c r="G9" i="24"/>
  <c r="I8" i="24"/>
  <c r="G8" i="24"/>
  <c r="I6" i="24"/>
  <c r="G6" i="24"/>
  <c r="I5" i="24"/>
  <c r="G5" i="24"/>
  <c r="G4" i="24"/>
  <c r="I3" i="24"/>
  <c r="G3" i="24"/>
  <c r="I17" i="23"/>
  <c r="I4" i="23"/>
  <c r="I31" i="23"/>
  <c r="G31" i="23"/>
  <c r="I30" i="23"/>
  <c r="G30" i="23"/>
  <c r="I29" i="23"/>
  <c r="G29" i="23"/>
  <c r="I27" i="23"/>
  <c r="G27" i="23"/>
  <c r="I26" i="23"/>
  <c r="G26" i="23"/>
  <c r="I24" i="23"/>
  <c r="G24" i="23"/>
  <c r="I23" i="23"/>
  <c r="G23" i="23"/>
  <c r="I21" i="23"/>
  <c r="G21" i="23"/>
  <c r="I19" i="23"/>
  <c r="G19" i="23"/>
  <c r="I18" i="23"/>
  <c r="G18" i="23"/>
  <c r="G17" i="23"/>
  <c r="I15" i="23"/>
  <c r="G15" i="23"/>
  <c r="I13" i="23"/>
  <c r="G13" i="23"/>
  <c r="I11" i="23"/>
  <c r="G11" i="23"/>
  <c r="I9" i="23"/>
  <c r="G9" i="23"/>
  <c r="I8" i="23"/>
  <c r="G8" i="23"/>
  <c r="I6" i="23"/>
  <c r="G6" i="23"/>
  <c r="I5" i="23"/>
  <c r="G5" i="23"/>
  <c r="G4" i="23"/>
  <c r="I3" i="23"/>
  <c r="G3" i="23"/>
  <c r="I31" i="22"/>
  <c r="G31" i="22"/>
  <c r="I30" i="22"/>
  <c r="G30" i="22"/>
  <c r="I29" i="22"/>
  <c r="G29" i="22"/>
  <c r="I27" i="22"/>
  <c r="G27" i="22"/>
  <c r="I26" i="22"/>
  <c r="G26" i="22"/>
  <c r="I24" i="22"/>
  <c r="G24" i="22"/>
  <c r="I23" i="22"/>
  <c r="G23" i="22"/>
  <c r="I21" i="22"/>
  <c r="G21" i="22"/>
  <c r="I19" i="22"/>
  <c r="G19" i="22"/>
  <c r="I18" i="22"/>
  <c r="G18" i="22"/>
  <c r="G17" i="22"/>
  <c r="I15" i="22"/>
  <c r="G15" i="22"/>
  <c r="I13" i="22"/>
  <c r="G13" i="22"/>
  <c r="I11" i="22"/>
  <c r="G11" i="22"/>
  <c r="I9" i="22"/>
  <c r="G9" i="22"/>
  <c r="I8" i="22"/>
  <c r="G8" i="22"/>
  <c r="I6" i="22"/>
  <c r="G6" i="22"/>
  <c r="I5" i="22"/>
  <c r="G5" i="22"/>
  <c r="G4" i="22"/>
  <c r="I3" i="22"/>
  <c r="G3" i="22"/>
  <c r="I16" i="21"/>
  <c r="I30" i="21"/>
  <c r="G30" i="21"/>
  <c r="I29" i="21"/>
  <c r="G29" i="21"/>
  <c r="I28" i="21"/>
  <c r="G28" i="21"/>
  <c r="I26" i="21"/>
  <c r="G26" i="21"/>
  <c r="I25" i="21"/>
  <c r="G25" i="21"/>
  <c r="I23" i="21"/>
  <c r="G23" i="21"/>
  <c r="I22" i="21"/>
  <c r="G22" i="21"/>
  <c r="I20" i="21"/>
  <c r="G20" i="21"/>
  <c r="I18" i="21"/>
  <c r="G18" i="21"/>
  <c r="I17" i="21"/>
  <c r="G17" i="21"/>
  <c r="G16" i="21"/>
  <c r="I14" i="21"/>
  <c r="G14" i="21"/>
  <c r="I13" i="21"/>
  <c r="G13" i="21"/>
  <c r="I11" i="21"/>
  <c r="G11" i="21"/>
  <c r="I9" i="21"/>
  <c r="G9" i="21"/>
  <c r="I8" i="21"/>
  <c r="G8" i="21"/>
  <c r="I6" i="21"/>
  <c r="G6" i="21"/>
  <c r="I5" i="21"/>
  <c r="G5" i="21"/>
  <c r="G4" i="21"/>
  <c r="I3" i="21"/>
  <c r="G3" i="21"/>
  <c r="I30" i="20"/>
  <c r="G30" i="20"/>
  <c r="I29" i="20"/>
  <c r="G29" i="20"/>
  <c r="I28" i="20"/>
  <c r="G28" i="20"/>
  <c r="I26" i="20"/>
  <c r="G26" i="20"/>
  <c r="I25" i="20"/>
  <c r="G25" i="20"/>
  <c r="I23" i="20"/>
  <c r="G23" i="20"/>
  <c r="I22" i="20"/>
  <c r="G22" i="20"/>
  <c r="I20" i="20"/>
  <c r="G20" i="20"/>
  <c r="I18" i="20"/>
  <c r="G18" i="20"/>
  <c r="I17" i="20"/>
  <c r="G17" i="20"/>
  <c r="I16" i="20"/>
  <c r="G16" i="20"/>
  <c r="I14" i="20"/>
  <c r="G14" i="20"/>
  <c r="I13" i="20"/>
  <c r="G13" i="20"/>
  <c r="I11" i="20"/>
  <c r="G11" i="20"/>
  <c r="I9" i="20"/>
  <c r="G9" i="20"/>
  <c r="I8" i="20"/>
  <c r="G8" i="20"/>
  <c r="I6" i="20"/>
  <c r="G6" i="20"/>
  <c r="I5" i="20"/>
  <c r="G5" i="20"/>
  <c r="G4" i="20"/>
  <c r="I3" i="20"/>
  <c r="G3" i="20"/>
  <c r="I30" i="19"/>
  <c r="G30" i="19"/>
  <c r="I29" i="19"/>
  <c r="G29" i="19"/>
  <c r="I28" i="19"/>
  <c r="G28" i="19"/>
  <c r="I26" i="19"/>
  <c r="G26" i="19"/>
  <c r="I25" i="19"/>
  <c r="G25" i="19"/>
  <c r="I23" i="19"/>
  <c r="G23" i="19"/>
  <c r="I22" i="19"/>
  <c r="G22" i="19"/>
  <c r="I20" i="19"/>
  <c r="G20" i="19"/>
  <c r="I18" i="19"/>
  <c r="G18" i="19"/>
  <c r="I17" i="19"/>
  <c r="G17" i="19"/>
  <c r="I16" i="19"/>
  <c r="G16" i="19"/>
  <c r="I14" i="19"/>
  <c r="G14" i="19"/>
  <c r="I13" i="19"/>
  <c r="G13" i="19"/>
  <c r="I11" i="19"/>
  <c r="G11" i="19"/>
  <c r="I9" i="19"/>
  <c r="G9" i="19"/>
  <c r="I8" i="19"/>
  <c r="G8" i="19"/>
  <c r="I6" i="19"/>
  <c r="G6" i="19"/>
  <c r="I5" i="19"/>
  <c r="G5" i="19"/>
  <c r="G4" i="19"/>
  <c r="I3" i="19"/>
  <c r="G3" i="19"/>
  <c r="K2" i="25" l="1"/>
  <c r="K2" i="24"/>
  <c r="K2" i="23"/>
  <c r="K2" i="22"/>
  <c r="K2" i="21"/>
  <c r="K2" i="20"/>
  <c r="K2" i="19"/>
  <c r="I11" i="18"/>
  <c r="I30" i="18"/>
  <c r="G30" i="18"/>
  <c r="I29" i="18"/>
  <c r="G29" i="18"/>
  <c r="I28" i="18"/>
  <c r="G28" i="18"/>
  <c r="I26" i="18"/>
  <c r="G26" i="18"/>
  <c r="I25" i="18"/>
  <c r="G25" i="18"/>
  <c r="I23" i="18"/>
  <c r="G23" i="18"/>
  <c r="I22" i="18"/>
  <c r="G22" i="18"/>
  <c r="I20" i="18"/>
  <c r="G20" i="18"/>
  <c r="I18" i="18"/>
  <c r="G18" i="18"/>
  <c r="I17" i="18"/>
  <c r="G17" i="18"/>
  <c r="I16" i="18"/>
  <c r="G16" i="18"/>
  <c r="I14" i="18"/>
  <c r="G14" i="18"/>
  <c r="I13" i="18"/>
  <c r="G13" i="18"/>
  <c r="G11" i="18"/>
  <c r="I9" i="18"/>
  <c r="G9" i="18"/>
  <c r="I8" i="18"/>
  <c r="G8" i="18"/>
  <c r="I6" i="18"/>
  <c r="G6" i="18"/>
  <c r="I5" i="18"/>
  <c r="G5" i="18"/>
  <c r="G4" i="18"/>
  <c r="I3" i="18"/>
  <c r="G3" i="18"/>
  <c r="I4" i="17"/>
  <c r="I14" i="17"/>
  <c r="G14" i="17"/>
  <c r="I11" i="17"/>
  <c r="I30" i="17"/>
  <c r="G30" i="17"/>
  <c r="I29" i="17"/>
  <c r="G29" i="17"/>
  <c r="I28" i="17"/>
  <c r="G28" i="17"/>
  <c r="I26" i="17"/>
  <c r="G26" i="17"/>
  <c r="I25" i="17"/>
  <c r="G25" i="17"/>
  <c r="I23" i="17"/>
  <c r="G23" i="17"/>
  <c r="I22" i="17"/>
  <c r="G22" i="17"/>
  <c r="I20" i="17"/>
  <c r="G20" i="17"/>
  <c r="I18" i="17"/>
  <c r="G18" i="17"/>
  <c r="I17" i="17"/>
  <c r="G17" i="17"/>
  <c r="I16" i="17"/>
  <c r="G16" i="17"/>
  <c r="I13" i="17"/>
  <c r="G13" i="17"/>
  <c r="G11" i="17"/>
  <c r="I9" i="17"/>
  <c r="G9" i="17"/>
  <c r="I8" i="17"/>
  <c r="G8" i="17"/>
  <c r="I6" i="17"/>
  <c r="G6" i="17"/>
  <c r="I5" i="17"/>
  <c r="G5" i="17"/>
  <c r="G4" i="17"/>
  <c r="I3" i="17"/>
  <c r="G3" i="17"/>
  <c r="I4" i="16"/>
  <c r="I29" i="16"/>
  <c r="G29" i="16"/>
  <c r="I28" i="16"/>
  <c r="G28" i="16"/>
  <c r="I27" i="16"/>
  <c r="G27" i="16"/>
  <c r="I25" i="16"/>
  <c r="G25" i="16"/>
  <c r="I24" i="16"/>
  <c r="G24" i="16"/>
  <c r="I22" i="16"/>
  <c r="G22" i="16"/>
  <c r="I21" i="16"/>
  <c r="G21" i="16"/>
  <c r="I20" i="16"/>
  <c r="G20" i="16"/>
  <c r="I18" i="16"/>
  <c r="G18" i="16"/>
  <c r="I17" i="16"/>
  <c r="G17" i="16"/>
  <c r="I16" i="16"/>
  <c r="G16" i="16"/>
  <c r="I14" i="16"/>
  <c r="G14" i="16"/>
  <c r="I13" i="16"/>
  <c r="G13" i="16"/>
  <c r="I11" i="16"/>
  <c r="G11" i="16"/>
  <c r="I9" i="16"/>
  <c r="G9" i="16"/>
  <c r="I8" i="16"/>
  <c r="G8" i="16"/>
  <c r="G6" i="16"/>
  <c r="I5" i="16"/>
  <c r="G5" i="16"/>
  <c r="G4" i="16"/>
  <c r="I3" i="16"/>
  <c r="G3" i="16"/>
  <c r="I30" i="15"/>
  <c r="G30" i="15"/>
  <c r="I29" i="15"/>
  <c r="G29" i="15"/>
  <c r="I28" i="15"/>
  <c r="G28" i="15"/>
  <c r="I26" i="15"/>
  <c r="G26" i="15"/>
  <c r="I25" i="15"/>
  <c r="G25" i="15"/>
  <c r="I23" i="15"/>
  <c r="G23" i="15"/>
  <c r="I22" i="15"/>
  <c r="G22" i="15"/>
  <c r="I20" i="15"/>
  <c r="G20" i="15"/>
  <c r="I18" i="15"/>
  <c r="G18" i="15"/>
  <c r="I17" i="15"/>
  <c r="G17" i="15"/>
  <c r="I16" i="15"/>
  <c r="G16" i="15"/>
  <c r="I13" i="15"/>
  <c r="G13" i="15"/>
  <c r="I11" i="15"/>
  <c r="G11" i="15"/>
  <c r="I9" i="15"/>
  <c r="G9" i="15"/>
  <c r="I8" i="15"/>
  <c r="G8" i="15"/>
  <c r="I6" i="15"/>
  <c r="G6" i="15"/>
  <c r="I5" i="15"/>
  <c r="G5" i="15"/>
  <c r="I4" i="15"/>
  <c r="G4" i="15"/>
  <c r="I3" i="15"/>
  <c r="G3" i="15"/>
  <c r="I6" i="14"/>
  <c r="I22" i="14"/>
  <c r="G22" i="14"/>
  <c r="I4" i="14"/>
  <c r="I30" i="14"/>
  <c r="G30" i="14"/>
  <c r="I29" i="14"/>
  <c r="G29" i="14"/>
  <c r="I28" i="14"/>
  <c r="G28" i="14"/>
  <c r="I26" i="14"/>
  <c r="G26" i="14"/>
  <c r="I25" i="14"/>
  <c r="G25" i="14"/>
  <c r="I23" i="14"/>
  <c r="G23" i="14"/>
  <c r="I20" i="14"/>
  <c r="G20" i="14"/>
  <c r="I18" i="14"/>
  <c r="G18" i="14"/>
  <c r="I17" i="14"/>
  <c r="G17" i="14"/>
  <c r="I16" i="14"/>
  <c r="G16" i="14"/>
  <c r="I14" i="14"/>
  <c r="G14" i="14"/>
  <c r="I13" i="14"/>
  <c r="G13" i="14"/>
  <c r="I11" i="14"/>
  <c r="G11" i="14"/>
  <c r="I9" i="14"/>
  <c r="G9" i="14"/>
  <c r="I8" i="14"/>
  <c r="G8" i="14"/>
  <c r="G6" i="14"/>
  <c r="I5" i="14"/>
  <c r="G5" i="14"/>
  <c r="G4" i="14"/>
  <c r="I3" i="14"/>
  <c r="G3" i="14"/>
  <c r="I21" i="13"/>
  <c r="I27" i="13"/>
  <c r="I4" i="13"/>
  <c r="I29" i="13"/>
  <c r="G29" i="13"/>
  <c r="I28" i="13"/>
  <c r="G28" i="13"/>
  <c r="G27" i="13"/>
  <c r="I25" i="13"/>
  <c r="G25" i="13"/>
  <c r="I24" i="13"/>
  <c r="G24" i="13"/>
  <c r="I22" i="13"/>
  <c r="G22" i="13"/>
  <c r="G21" i="13"/>
  <c r="I20" i="13"/>
  <c r="G20" i="13"/>
  <c r="I18" i="13"/>
  <c r="G18" i="13"/>
  <c r="I17" i="13"/>
  <c r="G17" i="13"/>
  <c r="I16" i="13"/>
  <c r="G16" i="13"/>
  <c r="I14" i="13"/>
  <c r="G14" i="13"/>
  <c r="I13" i="13"/>
  <c r="G13" i="13"/>
  <c r="I11" i="13"/>
  <c r="G11" i="13"/>
  <c r="I9" i="13"/>
  <c r="G9" i="13"/>
  <c r="I8" i="13"/>
  <c r="G8" i="13"/>
  <c r="G6" i="13"/>
  <c r="I5" i="13"/>
  <c r="G5" i="13"/>
  <c r="G4" i="13"/>
  <c r="I3" i="13"/>
  <c r="G3" i="13"/>
  <c r="I4" i="12"/>
  <c r="I29" i="12"/>
  <c r="G29" i="12"/>
  <c r="I28" i="12"/>
  <c r="G28" i="12"/>
  <c r="I27" i="12"/>
  <c r="G27" i="12"/>
  <c r="I25" i="12"/>
  <c r="G25" i="12"/>
  <c r="I24" i="12"/>
  <c r="G24" i="12"/>
  <c r="I22" i="12"/>
  <c r="G22" i="12"/>
  <c r="I21" i="12"/>
  <c r="G21" i="12"/>
  <c r="I20" i="12"/>
  <c r="G20" i="12"/>
  <c r="I18" i="12"/>
  <c r="G18" i="12"/>
  <c r="I17" i="12"/>
  <c r="G17" i="12"/>
  <c r="I16" i="12"/>
  <c r="G16" i="12"/>
  <c r="I14" i="12"/>
  <c r="G14" i="12"/>
  <c r="I13" i="12"/>
  <c r="G13" i="12"/>
  <c r="I11" i="12"/>
  <c r="G11" i="12"/>
  <c r="I9" i="12"/>
  <c r="G9" i="12"/>
  <c r="I8" i="12"/>
  <c r="G8" i="12"/>
  <c r="G6" i="12"/>
  <c r="I5" i="12"/>
  <c r="G5" i="12"/>
  <c r="G4" i="12"/>
  <c r="I3" i="12"/>
  <c r="G3" i="12"/>
  <c r="I4" i="10"/>
  <c r="I29" i="10"/>
  <c r="G29" i="10"/>
  <c r="I28" i="10"/>
  <c r="G28" i="10"/>
  <c r="I27" i="10"/>
  <c r="G27" i="10"/>
  <c r="I25" i="10"/>
  <c r="G25" i="10"/>
  <c r="I24" i="10"/>
  <c r="G24" i="10"/>
  <c r="I22" i="10"/>
  <c r="G22" i="10"/>
  <c r="I21" i="10"/>
  <c r="G21" i="10"/>
  <c r="I20" i="10"/>
  <c r="G20" i="10"/>
  <c r="I18" i="10"/>
  <c r="G18" i="10"/>
  <c r="I17" i="10"/>
  <c r="G17" i="10"/>
  <c r="I16" i="10"/>
  <c r="G16" i="10"/>
  <c r="I14" i="10"/>
  <c r="G14" i="10"/>
  <c r="I13" i="10"/>
  <c r="G13" i="10"/>
  <c r="I11" i="10"/>
  <c r="G11" i="10"/>
  <c r="I9" i="10"/>
  <c r="G9" i="10"/>
  <c r="I8" i="10"/>
  <c r="G8" i="10"/>
  <c r="G6" i="10"/>
  <c r="I5" i="10"/>
  <c r="G5" i="10"/>
  <c r="G4" i="10"/>
  <c r="I3" i="10"/>
  <c r="G3" i="10"/>
  <c r="I9" i="9"/>
  <c r="G9" i="9"/>
  <c r="G8" i="9"/>
  <c r="I8" i="9"/>
  <c r="I3" i="9"/>
  <c r="I29" i="9"/>
  <c r="G29" i="9"/>
  <c r="I28" i="9"/>
  <c r="G28" i="9"/>
  <c r="I27" i="9"/>
  <c r="G27" i="9"/>
  <c r="I25" i="9"/>
  <c r="G25" i="9"/>
  <c r="I24" i="9"/>
  <c r="G24" i="9"/>
  <c r="I22" i="9"/>
  <c r="G22" i="9"/>
  <c r="I21" i="9"/>
  <c r="G21" i="9"/>
  <c r="I20" i="9"/>
  <c r="G20" i="9"/>
  <c r="I18" i="9"/>
  <c r="G18" i="9"/>
  <c r="I17" i="9"/>
  <c r="G17" i="9"/>
  <c r="I16" i="9"/>
  <c r="G16" i="9"/>
  <c r="I14" i="9"/>
  <c r="G14" i="9"/>
  <c r="I13" i="9"/>
  <c r="G13" i="9"/>
  <c r="I11" i="9"/>
  <c r="G11" i="9"/>
  <c r="G6" i="9"/>
  <c r="I5" i="9"/>
  <c r="G5" i="9"/>
  <c r="I4" i="9"/>
  <c r="G4" i="9"/>
  <c r="G3" i="9"/>
  <c r="I3" i="8"/>
  <c r="I15" i="8"/>
  <c r="G15" i="8"/>
  <c r="I28" i="8"/>
  <c r="G28" i="8"/>
  <c r="I27" i="8"/>
  <c r="G27" i="8"/>
  <c r="I26" i="8"/>
  <c r="G26" i="8"/>
  <c r="I24" i="8"/>
  <c r="G24" i="8"/>
  <c r="I23" i="8"/>
  <c r="G23" i="8"/>
  <c r="I21" i="8"/>
  <c r="G21" i="8"/>
  <c r="I20" i="8"/>
  <c r="G20" i="8"/>
  <c r="I19" i="8"/>
  <c r="G19" i="8"/>
  <c r="I17" i="8"/>
  <c r="G17" i="8"/>
  <c r="I16" i="8"/>
  <c r="G16" i="8"/>
  <c r="I13" i="8"/>
  <c r="G13" i="8"/>
  <c r="I12" i="8"/>
  <c r="G12" i="8"/>
  <c r="I10" i="8"/>
  <c r="G10" i="8"/>
  <c r="I8" i="8"/>
  <c r="G8" i="8"/>
  <c r="G6" i="8"/>
  <c r="I5" i="8"/>
  <c r="G5" i="8"/>
  <c r="I4" i="8"/>
  <c r="G4" i="8"/>
  <c r="G3" i="8"/>
  <c r="I27" i="7"/>
  <c r="G27" i="7"/>
  <c r="I26" i="7"/>
  <c r="G26" i="7"/>
  <c r="I25" i="7"/>
  <c r="G25" i="7"/>
  <c r="I23" i="7"/>
  <c r="G23" i="7"/>
  <c r="I22" i="7"/>
  <c r="G22" i="7"/>
  <c r="I20" i="7"/>
  <c r="G20" i="7"/>
  <c r="I19" i="7"/>
  <c r="G19" i="7"/>
  <c r="I18" i="7"/>
  <c r="G18" i="7"/>
  <c r="I16" i="7"/>
  <c r="G16" i="7"/>
  <c r="I15" i="7"/>
  <c r="G15" i="7"/>
  <c r="I13" i="7"/>
  <c r="G13" i="7"/>
  <c r="I12" i="7"/>
  <c r="G12" i="7"/>
  <c r="I10" i="7"/>
  <c r="G10" i="7"/>
  <c r="I8" i="7"/>
  <c r="G8" i="7"/>
  <c r="G6" i="7"/>
  <c r="I5" i="7"/>
  <c r="G5" i="7"/>
  <c r="I4" i="7"/>
  <c r="G4" i="7"/>
  <c r="I3" i="7"/>
  <c r="G3" i="7"/>
  <c r="I26" i="6"/>
  <c r="G26" i="6"/>
  <c r="I25" i="6"/>
  <c r="G25" i="6"/>
  <c r="I24" i="6"/>
  <c r="G24" i="6"/>
  <c r="I22" i="6"/>
  <c r="G22" i="6"/>
  <c r="I21" i="6"/>
  <c r="G21" i="6"/>
  <c r="I19" i="6"/>
  <c r="G19" i="6"/>
  <c r="I18" i="6"/>
  <c r="G18" i="6"/>
  <c r="I17" i="6"/>
  <c r="G17" i="6"/>
  <c r="I15" i="6"/>
  <c r="G15" i="6"/>
  <c r="I14" i="6"/>
  <c r="G14" i="6"/>
  <c r="I12" i="6"/>
  <c r="G12" i="6"/>
  <c r="I11" i="6"/>
  <c r="G11" i="6"/>
  <c r="I9" i="6"/>
  <c r="G9" i="6"/>
  <c r="I8" i="6"/>
  <c r="G8" i="6"/>
  <c r="G6" i="6"/>
  <c r="I5" i="6"/>
  <c r="G5" i="6"/>
  <c r="I4" i="6"/>
  <c r="G4" i="6"/>
  <c r="I3" i="6"/>
  <c r="G3" i="6"/>
  <c r="G6" i="5"/>
  <c r="I26" i="5"/>
  <c r="G26" i="5"/>
  <c r="I25" i="5"/>
  <c r="G25" i="5"/>
  <c r="I24" i="5"/>
  <c r="G24" i="5"/>
  <c r="I22" i="5"/>
  <c r="G22" i="5"/>
  <c r="I21" i="5"/>
  <c r="G21" i="5"/>
  <c r="I19" i="5"/>
  <c r="G19" i="5"/>
  <c r="I18" i="5"/>
  <c r="G18" i="5"/>
  <c r="I17" i="5"/>
  <c r="G17" i="5"/>
  <c r="I15" i="5"/>
  <c r="G15" i="5"/>
  <c r="I14" i="5"/>
  <c r="G14" i="5"/>
  <c r="I12" i="5"/>
  <c r="G12" i="5"/>
  <c r="I11" i="5"/>
  <c r="G11" i="5"/>
  <c r="I9" i="5"/>
  <c r="G9" i="5"/>
  <c r="I8" i="5"/>
  <c r="G8" i="5"/>
  <c r="I5" i="5"/>
  <c r="G5" i="5"/>
  <c r="I4" i="5"/>
  <c r="G4" i="5"/>
  <c r="I3" i="5"/>
  <c r="G3" i="5"/>
  <c r="G13" i="4"/>
  <c r="I13" i="4"/>
  <c r="I11" i="4"/>
  <c r="G11" i="4"/>
  <c r="I25" i="4"/>
  <c r="G25" i="4"/>
  <c r="I24" i="4"/>
  <c r="G24" i="4"/>
  <c r="I23" i="4"/>
  <c r="G23" i="4"/>
  <c r="I21" i="4"/>
  <c r="G21" i="4"/>
  <c r="I20" i="4"/>
  <c r="G20" i="4"/>
  <c r="I18" i="4"/>
  <c r="G18" i="4"/>
  <c r="I17" i="4"/>
  <c r="G17" i="4"/>
  <c r="I16" i="4"/>
  <c r="G16" i="4"/>
  <c r="I14" i="4"/>
  <c r="G14" i="4"/>
  <c r="I10" i="4"/>
  <c r="G10" i="4"/>
  <c r="I8" i="4"/>
  <c r="G8" i="4"/>
  <c r="I7" i="4"/>
  <c r="G7" i="4"/>
  <c r="I5" i="4"/>
  <c r="G5" i="4"/>
  <c r="I4" i="4"/>
  <c r="G4" i="4"/>
  <c r="I3" i="4"/>
  <c r="G3" i="4"/>
  <c r="I22" i="2"/>
  <c r="G22" i="2"/>
  <c r="I21" i="2"/>
  <c r="G21" i="2"/>
  <c r="I20" i="2"/>
  <c r="G20" i="2"/>
  <c r="I18" i="2"/>
  <c r="G18" i="2"/>
  <c r="I17" i="2"/>
  <c r="G17" i="2"/>
  <c r="I15" i="2"/>
  <c r="G15" i="2"/>
  <c r="I14" i="2"/>
  <c r="G14" i="2"/>
  <c r="I13" i="2"/>
  <c r="G13" i="2"/>
  <c r="I11" i="2"/>
  <c r="G11" i="2"/>
  <c r="I10" i="2"/>
  <c r="G10" i="2"/>
  <c r="I8" i="2"/>
  <c r="G8" i="2"/>
  <c r="I7" i="2"/>
  <c r="G7" i="2"/>
  <c r="I5" i="2"/>
  <c r="G5" i="2"/>
  <c r="I4" i="2"/>
  <c r="G4" i="2"/>
  <c r="I3" i="2"/>
  <c r="G3" i="2"/>
  <c r="I22" i="1"/>
  <c r="I21" i="1"/>
  <c r="I20" i="1"/>
  <c r="I18" i="1"/>
  <c r="I17" i="1"/>
  <c r="I15" i="1"/>
  <c r="I14" i="1"/>
  <c r="I13" i="1"/>
  <c r="I11" i="1"/>
  <c r="G4" i="1"/>
  <c r="G5" i="1"/>
  <c r="G7" i="1"/>
  <c r="G8" i="1"/>
  <c r="G10" i="1"/>
  <c r="G11" i="1"/>
  <c r="G13" i="1"/>
  <c r="G14" i="1"/>
  <c r="G15" i="1"/>
  <c r="G17" i="1"/>
  <c r="G18" i="1"/>
  <c r="G20" i="1"/>
  <c r="G21" i="1"/>
  <c r="G22" i="1"/>
  <c r="G3" i="1"/>
  <c r="I5" i="1"/>
  <c r="I4" i="1"/>
  <c r="I7" i="1"/>
  <c r="I8" i="1"/>
  <c r="I10" i="1"/>
  <c r="I3" i="1"/>
  <c r="K2" i="18" l="1"/>
  <c r="K2" i="17"/>
  <c r="K2" i="15"/>
  <c r="K2" i="16"/>
  <c r="K2" i="14"/>
  <c r="K2" i="13"/>
  <c r="K2" i="12"/>
  <c r="K2" i="10"/>
  <c r="K2" i="9"/>
  <c r="K2" i="8"/>
  <c r="K2" i="7"/>
  <c r="K2" i="6"/>
  <c r="K2" i="5"/>
  <c r="K2" i="4"/>
  <c r="K2" i="2"/>
  <c r="K2" i="1"/>
</calcChain>
</file>

<file path=xl/sharedStrings.xml><?xml version="1.0" encoding="utf-8"?>
<sst xmlns="http://schemas.openxmlformats.org/spreadsheetml/2006/main" count="1039" uniqueCount="55">
  <si>
    <t>类别</t>
    <phoneticPr fontId="1" type="noConversion"/>
  </si>
  <si>
    <t>项目</t>
    <phoneticPr fontId="1" type="noConversion"/>
  </si>
  <si>
    <t>进度</t>
    <phoneticPr fontId="1" type="noConversion"/>
  </si>
  <si>
    <t>权重</t>
    <phoneticPr fontId="1" type="noConversion"/>
  </si>
  <si>
    <t>初始值</t>
    <phoneticPr fontId="1" type="noConversion"/>
  </si>
  <si>
    <t>终止值</t>
    <phoneticPr fontId="1" type="noConversion"/>
  </si>
  <si>
    <t>百分比</t>
    <phoneticPr fontId="1" type="noConversion"/>
  </si>
  <si>
    <t>语文</t>
    <phoneticPr fontId="1" type="noConversion"/>
  </si>
  <si>
    <t>数学</t>
    <phoneticPr fontId="1" type="noConversion"/>
  </si>
  <si>
    <t>英语</t>
    <phoneticPr fontId="1" type="noConversion"/>
  </si>
  <si>
    <t>昨日进度</t>
    <phoneticPr fontId="1" type="noConversion"/>
  </si>
  <si>
    <t>今日成就</t>
    <phoneticPr fontId="1" type="noConversion"/>
  </si>
  <si>
    <t>成就值</t>
    <phoneticPr fontId="1" type="noConversion"/>
  </si>
  <si>
    <r>
      <t>暑假作业</t>
    </r>
    <r>
      <rPr>
        <sz val="14"/>
        <color theme="5" tint="-0.499984740745262"/>
        <rFont val="等线"/>
        <family val="3"/>
        <charset val="134"/>
        <scheme val="minor"/>
      </rPr>
      <t>(13)</t>
    </r>
    <phoneticPr fontId="1" type="noConversion"/>
  </si>
  <si>
    <r>
      <t>模拟卷</t>
    </r>
    <r>
      <rPr>
        <sz val="14"/>
        <color theme="5" tint="-0.499984740745262"/>
        <rFont val="等线"/>
        <family val="3"/>
        <charset val="134"/>
        <scheme val="minor"/>
      </rPr>
      <t>(38)</t>
    </r>
    <phoneticPr fontId="1" type="noConversion"/>
  </si>
  <si>
    <r>
      <t>暑假作业第一阶段</t>
    </r>
    <r>
      <rPr>
        <sz val="14"/>
        <color theme="8" tint="-0.499984740745262"/>
        <rFont val="等线"/>
        <family val="3"/>
        <charset val="134"/>
        <scheme val="minor"/>
      </rPr>
      <t>(8)</t>
    </r>
    <phoneticPr fontId="1" type="noConversion"/>
  </si>
  <si>
    <r>
      <t>模拟卷</t>
    </r>
    <r>
      <rPr>
        <sz val="14"/>
        <color theme="8" tint="-0.499984740745262"/>
        <rFont val="等线"/>
        <family val="3"/>
        <charset val="134"/>
        <scheme val="minor"/>
      </rPr>
      <t>(38)</t>
    </r>
    <phoneticPr fontId="1" type="noConversion"/>
  </si>
  <si>
    <r>
      <t>暑假作业</t>
    </r>
    <r>
      <rPr>
        <sz val="14"/>
        <color theme="9" tint="-0.499984740745262"/>
        <rFont val="等线"/>
        <family val="3"/>
        <charset val="134"/>
        <scheme val="minor"/>
      </rPr>
      <t>(12)</t>
    </r>
    <phoneticPr fontId="1" type="noConversion"/>
  </si>
  <si>
    <r>
      <t>阅读</t>
    </r>
    <r>
      <rPr>
        <sz val="14"/>
        <color theme="9" tint="-0.499984740745262"/>
        <rFont val="等线"/>
        <family val="3"/>
        <charset val="134"/>
        <scheme val="minor"/>
      </rPr>
      <t>(31)</t>
    </r>
    <phoneticPr fontId="1" type="noConversion"/>
  </si>
  <si>
    <t>物理</t>
    <phoneticPr fontId="1" type="noConversion"/>
  </si>
  <si>
    <t>暑假作业</t>
    <phoneticPr fontId="1" type="noConversion"/>
  </si>
  <si>
    <t>模拟卷(28)</t>
    <phoneticPr fontId="1" type="noConversion"/>
  </si>
  <si>
    <t>化学</t>
    <phoneticPr fontId="1" type="noConversion"/>
  </si>
  <si>
    <t>模拟卷</t>
    <phoneticPr fontId="1" type="noConversion"/>
  </si>
  <si>
    <t>生物</t>
    <phoneticPr fontId="1" type="noConversion"/>
  </si>
  <si>
    <t>53B版 细胞增殖</t>
    <phoneticPr fontId="1" type="noConversion"/>
  </si>
  <si>
    <r>
      <t>53B版 机械能</t>
    </r>
    <r>
      <rPr>
        <sz val="14"/>
        <color theme="7" tint="-0.499984740745262"/>
        <rFont val="等线"/>
        <family val="3"/>
        <charset val="134"/>
        <scheme val="minor"/>
      </rPr>
      <t>(91-107)</t>
    </r>
    <phoneticPr fontId="1" type="noConversion"/>
  </si>
  <si>
    <t>暑假作业(8)</t>
    <phoneticPr fontId="1" type="noConversion"/>
  </si>
  <si>
    <t xml:space="preserve">                                                                            暑假任务跟踪表</t>
    <phoneticPr fontId="1" type="noConversion"/>
  </si>
  <si>
    <t>更新时间</t>
    <phoneticPr fontId="1" type="noConversion"/>
  </si>
  <si>
    <t>快捷操作</t>
    <phoneticPr fontId="1" type="noConversion"/>
  </si>
  <si>
    <r>
      <t>练字</t>
    </r>
    <r>
      <rPr>
        <sz val="14"/>
        <color theme="5" tint="-0.499984740745262"/>
        <rFont val="等线"/>
        <family val="3"/>
        <charset val="134"/>
        <scheme val="minor"/>
      </rPr>
      <t>(65)</t>
    </r>
    <phoneticPr fontId="1" type="noConversion"/>
  </si>
  <si>
    <r>
      <t>模拟卷</t>
    </r>
    <r>
      <rPr>
        <sz val="14"/>
        <color rgb="FF7030A0"/>
        <rFont val="等线"/>
        <family val="3"/>
        <charset val="134"/>
        <scheme val="minor"/>
      </rPr>
      <t>(28)</t>
    </r>
    <phoneticPr fontId="1" type="noConversion"/>
  </si>
  <si>
    <r>
      <t>模拟卷</t>
    </r>
    <r>
      <rPr>
        <sz val="14"/>
        <color theme="7" tint="-0.499984740745262"/>
        <rFont val="等线"/>
        <family val="3"/>
        <charset val="134"/>
        <scheme val="minor"/>
      </rPr>
      <t>(28)</t>
    </r>
    <phoneticPr fontId="1" type="noConversion"/>
  </si>
  <si>
    <r>
      <t>53B版 细胞增殖</t>
    </r>
    <r>
      <rPr>
        <sz val="14"/>
        <color rgb="FF159F98"/>
        <rFont val="等线"/>
        <family val="3"/>
        <charset val="134"/>
        <scheme val="minor"/>
      </rPr>
      <t>(72-108)</t>
    </r>
    <phoneticPr fontId="1" type="noConversion"/>
  </si>
  <si>
    <r>
      <t>模拟卷</t>
    </r>
    <r>
      <rPr>
        <sz val="14"/>
        <color rgb="FF159F98"/>
        <rFont val="等线"/>
        <family val="3"/>
        <charset val="134"/>
        <scheme val="minor"/>
      </rPr>
      <t>(0-28)</t>
    </r>
    <phoneticPr fontId="1" type="noConversion"/>
  </si>
  <si>
    <r>
      <t>暑假作业</t>
    </r>
    <r>
      <rPr>
        <sz val="14"/>
        <color theme="7" tint="-0.499984740745262"/>
        <rFont val="等线"/>
        <family val="3"/>
        <charset val="134"/>
        <scheme val="minor"/>
      </rPr>
      <t>(10)</t>
    </r>
    <phoneticPr fontId="1" type="noConversion"/>
  </si>
  <si>
    <r>
      <t>暑假作业</t>
    </r>
    <r>
      <rPr>
        <sz val="14"/>
        <color rgb="FF7030A0"/>
        <rFont val="等线"/>
        <family val="3"/>
        <charset val="134"/>
        <scheme val="minor"/>
      </rPr>
      <t>(10)</t>
    </r>
    <phoneticPr fontId="1" type="noConversion"/>
  </si>
  <si>
    <r>
      <t>暑假作业</t>
    </r>
    <r>
      <rPr>
        <sz val="14"/>
        <color rgb="FF159F98"/>
        <rFont val="等线"/>
        <family val="3"/>
        <charset val="134"/>
        <scheme val="minor"/>
      </rPr>
      <t>(10)</t>
    </r>
    <phoneticPr fontId="1" type="noConversion"/>
  </si>
  <si>
    <t>读后续写素材整理计划</t>
    <phoneticPr fontId="1" type="noConversion"/>
  </si>
  <si>
    <r>
      <t>模拟卷</t>
    </r>
    <r>
      <rPr>
        <sz val="14"/>
        <color rgb="FF159F98"/>
        <rFont val="等线"/>
        <family val="3"/>
        <charset val="134"/>
        <scheme val="minor"/>
      </rPr>
      <t>(28)</t>
    </r>
    <phoneticPr fontId="1" type="noConversion"/>
  </si>
  <si>
    <t>#NaN#</t>
    <phoneticPr fontId="1" type="noConversion"/>
  </si>
  <si>
    <t>听力：专项训练部分</t>
    <phoneticPr fontId="1" type="noConversion"/>
  </si>
  <si>
    <r>
      <t>模拟卷</t>
    </r>
    <r>
      <rPr>
        <sz val="14"/>
        <color theme="9" tint="-0.499984740745262"/>
        <rFont val="等线"/>
        <family val="3"/>
        <charset val="134"/>
        <scheme val="minor"/>
      </rPr>
      <t>(38)</t>
    </r>
    <phoneticPr fontId="1" type="noConversion"/>
  </si>
  <si>
    <t>《三体Ⅱ》</t>
    <phoneticPr fontId="1" type="noConversion"/>
  </si>
  <si>
    <t>网课及其作业</t>
    <phoneticPr fontId="1" type="noConversion"/>
  </si>
  <si>
    <r>
      <t>高考3500词</t>
    </r>
    <r>
      <rPr>
        <sz val="14"/>
        <color theme="9" tint="-0.499984740745262"/>
        <rFont val="等线"/>
        <family val="3"/>
        <charset val="134"/>
        <scheme val="minor"/>
      </rPr>
      <t>(495)</t>
    </r>
    <phoneticPr fontId="1" type="noConversion"/>
  </si>
  <si>
    <r>
      <t>暑假作业</t>
    </r>
    <r>
      <rPr>
        <sz val="14"/>
        <color rgb="FF7030A0"/>
        <rFont val="等线"/>
        <family val="3"/>
        <charset val="134"/>
        <scheme val="minor"/>
      </rPr>
      <t>(8)</t>
    </r>
    <phoneticPr fontId="1" type="noConversion"/>
  </si>
  <si>
    <r>
      <t>暑假作业</t>
    </r>
    <r>
      <rPr>
        <sz val="14"/>
        <color rgb="FF159F98"/>
        <rFont val="等线"/>
        <family val="3"/>
        <charset val="134"/>
        <scheme val="minor"/>
      </rPr>
      <t>(8)</t>
    </r>
    <phoneticPr fontId="1" type="noConversion"/>
  </si>
  <si>
    <r>
      <t>暑假作业第二阶段</t>
    </r>
    <r>
      <rPr>
        <sz val="14"/>
        <color theme="8" tint="-0.499984740745262"/>
        <rFont val="等线"/>
        <family val="3"/>
        <charset val="134"/>
        <scheme val="minor"/>
      </rPr>
      <t>(8)</t>
    </r>
    <phoneticPr fontId="1" type="noConversion"/>
  </si>
  <si>
    <r>
      <t>暑假作业</t>
    </r>
    <r>
      <rPr>
        <sz val="14"/>
        <color theme="5" tint="-0.499984740745262"/>
        <rFont val="等线"/>
        <family val="3"/>
        <charset val="134"/>
        <scheme val="minor"/>
      </rPr>
      <t>(12)</t>
    </r>
    <phoneticPr fontId="1" type="noConversion"/>
  </si>
  <si>
    <t>《小说课》</t>
    <phoneticPr fontId="1" type="noConversion"/>
  </si>
  <si>
    <t>听力：优化38套</t>
    <phoneticPr fontId="1" type="noConversion"/>
  </si>
  <si>
    <t>听力：模拟试题A(15)</t>
    <phoneticPr fontId="1" type="noConversion"/>
  </si>
  <si>
    <t>优化38套听力2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</si>
</sst>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2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等线"/>
      <family val="3"/>
      <charset val="134"/>
      <scheme val="minor"/>
    </font>
    <font>
      <sz val="16"/>
      <color theme="0" tint="-0.499984740745262"/>
      <name val="等线"/>
      <family val="3"/>
      <charset val="134"/>
      <scheme val="minor"/>
    </font>
    <font>
      <sz val="11"/>
      <color theme="0" tint="-0.499984740745262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sz val="16"/>
      <color theme="5" tint="-0.499984740745262"/>
      <name val="等线"/>
      <family val="3"/>
      <charset val="134"/>
      <scheme val="minor"/>
    </font>
    <font>
      <sz val="14"/>
      <color theme="5" tint="-0.499984740745262"/>
      <name val="等线"/>
      <family val="3"/>
      <charset val="134"/>
      <scheme val="minor"/>
    </font>
    <font>
      <sz val="16"/>
      <color theme="8" tint="-0.499984740745262"/>
      <name val="等线"/>
      <family val="3"/>
      <charset val="134"/>
      <scheme val="minor"/>
    </font>
    <font>
      <sz val="16"/>
      <color theme="9" tint="-0.499984740745262"/>
      <name val="等线"/>
      <family val="3"/>
      <charset val="134"/>
      <scheme val="minor"/>
    </font>
    <font>
      <sz val="14"/>
      <color theme="8" tint="-0.499984740745262"/>
      <name val="等线"/>
      <family val="3"/>
      <charset val="134"/>
      <scheme val="minor"/>
    </font>
    <font>
      <sz val="14"/>
      <color theme="9" tint="-0.499984740745262"/>
      <name val="等线"/>
      <family val="3"/>
      <charset val="134"/>
      <scheme val="minor"/>
    </font>
    <font>
      <sz val="16"/>
      <color theme="7" tint="-0.499984740745262"/>
      <name val="等线"/>
      <family val="3"/>
      <charset val="134"/>
      <scheme val="minor"/>
    </font>
    <font>
      <sz val="16"/>
      <color rgb="FF7030A0"/>
      <name val="等线"/>
      <family val="3"/>
      <charset val="134"/>
      <scheme val="minor"/>
    </font>
    <font>
      <sz val="16"/>
      <color rgb="FF159F98"/>
      <name val="等线"/>
      <family val="3"/>
      <charset val="134"/>
      <scheme val="minor"/>
    </font>
    <font>
      <sz val="14"/>
      <color theme="7" tint="-0.49998474074526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8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36"/>
      <color theme="1"/>
      <name val="等线"/>
      <family val="2"/>
      <charset val="134"/>
      <scheme val="minor"/>
    </font>
    <font>
      <sz val="14"/>
      <color rgb="FF7030A0"/>
      <name val="等线"/>
      <family val="3"/>
      <charset val="134"/>
      <scheme val="minor"/>
    </font>
    <font>
      <sz val="14"/>
      <color rgb="FF159F98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CC5ED"/>
        <bgColor indexed="64"/>
      </patternFill>
    </fill>
    <fill>
      <patternFill patternType="solid">
        <fgColor rgb="FFD1F9F7"/>
        <bgColor indexed="64"/>
      </pattern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>
        <stop position="0">
          <color theme="8" tint="0.80001220740379042"/>
        </stop>
        <stop position="0.5">
          <color theme="0"/>
        </stop>
        <stop position="1">
          <color theme="8" tint="0.80001220740379042"/>
        </stop>
      </gradientFill>
    </fill>
    <fill>
      <gradientFill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</fills>
  <borders count="25">
    <border>
      <left/>
      <right/>
      <top/>
      <bottom/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1"/>
      </left>
      <right style="thin">
        <color theme="0" tint="-0.24994659260841701"/>
      </right>
      <top/>
      <bottom/>
      <diagonal/>
    </border>
    <border>
      <left style="thin">
        <color theme="1"/>
      </left>
      <right style="thin">
        <color theme="0" tint="-0.24994659260841701"/>
      </right>
      <top/>
      <bottom style="thin">
        <color theme="1"/>
      </bottom>
      <diagonal/>
    </border>
    <border>
      <left style="thin">
        <color theme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>
      <alignment vertical="center"/>
    </xf>
  </cellStyleXfs>
  <cellXfs count="12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17" fillId="0" borderId="0" xfId="0" applyFont="1" applyBorder="1">
      <alignment vertical="center"/>
    </xf>
    <xf numFmtId="0" fontId="4" fillId="0" borderId="0" xfId="0" applyFont="1" applyBorder="1">
      <alignment vertical="center"/>
    </xf>
    <xf numFmtId="0" fontId="0" fillId="0" borderId="0" xfId="0" applyBorder="1">
      <alignment vertical="center"/>
    </xf>
    <xf numFmtId="58" fontId="18" fillId="0" borderId="0" xfId="0" applyNumberFormat="1" applyFont="1" applyAlignment="1">
      <alignment horizontal="center" vertical="center"/>
    </xf>
    <xf numFmtId="20" fontId="1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2" fillId="0" borderId="5" xfId="0" applyFont="1" applyBorder="1" applyAlignment="1">
      <alignment horizontal="right" vertical="center"/>
    </xf>
    <xf numFmtId="0" fontId="3" fillId="0" borderId="8" xfId="0" applyFont="1" applyBorder="1">
      <alignment vertical="center"/>
    </xf>
    <xf numFmtId="0" fontId="2" fillId="0" borderId="8" xfId="0" applyFont="1" applyBorder="1" applyAlignment="1">
      <alignment horizontal="right" vertical="center"/>
    </xf>
    <xf numFmtId="0" fontId="0" fillId="0" borderId="10" xfId="0" applyBorder="1">
      <alignment vertical="center"/>
    </xf>
    <xf numFmtId="0" fontId="4" fillId="0" borderId="10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4" fillId="0" borderId="5" xfId="0" applyFont="1" applyBorder="1" applyAlignment="1">
      <alignment vertical="center"/>
    </xf>
    <xf numFmtId="0" fontId="14" fillId="0" borderId="8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9" fontId="3" fillId="0" borderId="5" xfId="0" applyNumberFormat="1" applyFont="1" applyBorder="1" applyAlignment="1">
      <alignment vertical="center"/>
    </xf>
    <xf numFmtId="176" fontId="5" fillId="0" borderId="6" xfId="0" applyNumberFormat="1" applyFont="1" applyBorder="1" applyAlignment="1">
      <alignment vertical="center"/>
    </xf>
    <xf numFmtId="0" fontId="3" fillId="0" borderId="8" xfId="0" applyFont="1" applyBorder="1" applyAlignment="1">
      <alignment vertical="center"/>
    </xf>
    <xf numFmtId="9" fontId="3" fillId="0" borderId="8" xfId="0" applyNumberFormat="1" applyFont="1" applyBorder="1" applyAlignment="1">
      <alignment vertical="center"/>
    </xf>
    <xf numFmtId="176" fontId="5" fillId="0" borderId="9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Fill="1">
      <alignment vertical="center"/>
    </xf>
    <xf numFmtId="58" fontId="18" fillId="0" borderId="0" xfId="0" applyNumberFormat="1" applyFont="1" applyFill="1" applyAlignment="1">
      <alignment horizontal="center" vertical="center"/>
    </xf>
    <xf numFmtId="20" fontId="18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18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9" fontId="3" fillId="0" borderId="0" xfId="0" applyNumberFormat="1" applyFont="1" applyFill="1" applyBorder="1" applyAlignment="1">
      <alignment vertical="center"/>
    </xf>
    <xf numFmtId="176" fontId="5" fillId="0" borderId="0" xfId="0" applyNumberFormat="1" applyFont="1" applyFill="1" applyBorder="1" applyAlignment="1">
      <alignment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12" xfId="0" applyFont="1" applyFill="1" applyBorder="1">
      <alignment vertical="center"/>
    </xf>
    <xf numFmtId="0" fontId="2" fillId="0" borderId="12" xfId="0" applyFont="1" applyFill="1" applyBorder="1" applyAlignment="1">
      <alignment horizontal="right" vertical="center"/>
    </xf>
    <xf numFmtId="0" fontId="3" fillId="0" borderId="12" xfId="0" applyFont="1" applyFill="1" applyBorder="1" applyAlignment="1">
      <alignment vertical="center"/>
    </xf>
    <xf numFmtId="9" fontId="3" fillId="0" borderId="12" xfId="0" applyNumberFormat="1" applyFont="1" applyFill="1" applyBorder="1" applyAlignment="1">
      <alignment vertical="center"/>
    </xf>
    <xf numFmtId="176" fontId="5" fillId="0" borderId="13" xfId="0" applyNumberFormat="1" applyFont="1" applyFill="1" applyBorder="1" applyAlignment="1">
      <alignment vertical="center"/>
    </xf>
    <xf numFmtId="0" fontId="8" fillId="0" borderId="12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2" fillId="0" borderId="12" xfId="0" applyFont="1" applyFill="1" applyBorder="1" applyAlignment="1">
      <alignment vertical="center"/>
    </xf>
    <xf numFmtId="0" fontId="13" fillId="0" borderId="12" xfId="0" applyFont="1" applyFill="1" applyBorder="1" applyAlignment="1">
      <alignment vertical="center"/>
    </xf>
    <xf numFmtId="176" fontId="3" fillId="0" borderId="5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2" fillId="0" borderId="14" xfId="0" applyFont="1" applyFill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3" fillId="8" borderId="5" xfId="0" applyNumberFormat="1" applyFont="1" applyFill="1" applyBorder="1" applyAlignment="1">
      <alignment vertical="center"/>
    </xf>
    <xf numFmtId="0" fontId="22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3" fillId="0" borderId="15" xfId="0" applyFont="1" applyBorder="1">
      <alignment vertical="center"/>
    </xf>
    <xf numFmtId="0" fontId="2" fillId="0" borderId="15" xfId="0" applyFont="1" applyBorder="1" applyAlignment="1">
      <alignment horizontal="right" vertical="center"/>
    </xf>
    <xf numFmtId="0" fontId="3" fillId="0" borderId="15" xfId="0" applyFont="1" applyBorder="1" applyAlignment="1">
      <alignment vertical="center"/>
    </xf>
    <xf numFmtId="176" fontId="5" fillId="0" borderId="22" xfId="0" applyNumberFormat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3" fillId="9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3" fillId="0" borderId="15" xfId="0" applyNumberFormat="1" applyFont="1" applyBorder="1" applyAlignment="1">
      <alignment vertical="center"/>
    </xf>
    <xf numFmtId="9" fontId="2" fillId="0" borderId="15" xfId="0" applyNumberFormat="1" applyFont="1" applyBorder="1" applyAlignment="1">
      <alignment horizontal="right" vertical="center"/>
    </xf>
    <xf numFmtId="9" fontId="3" fillId="10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1F9F7"/>
      <color rgb="FFDCC5ED"/>
      <color rgb="FF159F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9981D234-090E-4C8C-8917-565FB767960C}"/>
            </a:ext>
          </a:extLst>
        </xdr:cNvPr>
        <xdr:cNvSpPr/>
      </xdr:nvSpPr>
      <xdr:spPr>
        <a:xfrm>
          <a:off x="14338300" y="2089150"/>
          <a:ext cx="6858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5C17FADC-63CF-4137-964D-3A37D1F53EDA}"/>
            </a:ext>
          </a:extLst>
        </xdr:cNvPr>
        <xdr:cNvSpPr/>
      </xdr:nvSpPr>
      <xdr:spPr>
        <a:xfrm>
          <a:off x="15024100" y="2082800"/>
          <a:ext cx="7683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A863AA57-E25A-4A1F-A358-F3819803A84A}"/>
            </a:ext>
          </a:extLst>
        </xdr:cNvPr>
        <xdr:cNvSpPr/>
      </xdr:nvSpPr>
      <xdr:spPr>
        <a:xfrm>
          <a:off x="14312900" y="2451100"/>
          <a:ext cx="15049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28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29CFBFBE-145B-42D3-AD6C-1B118AAB0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6360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BACDA567-E135-47A9-9E4E-8377FEA7AE86}"/>
            </a:ext>
          </a:extLst>
        </xdr:cNvPr>
        <xdr:cNvSpPr/>
      </xdr:nvSpPr>
      <xdr:spPr>
        <a:xfrm>
          <a:off x="14331950" y="2089150"/>
          <a:ext cx="6858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5FDDF67F-9192-4ECB-B2B7-299572E2F7CE}"/>
            </a:ext>
          </a:extLst>
        </xdr:cNvPr>
        <xdr:cNvSpPr/>
      </xdr:nvSpPr>
      <xdr:spPr>
        <a:xfrm>
          <a:off x="15017750" y="2082800"/>
          <a:ext cx="7683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BD20B792-6105-4667-A83D-D2D181C951EC}"/>
            </a:ext>
          </a:extLst>
        </xdr:cNvPr>
        <xdr:cNvSpPr/>
      </xdr:nvSpPr>
      <xdr:spPr>
        <a:xfrm>
          <a:off x="14306550" y="2451100"/>
          <a:ext cx="15049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28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A8D30ECE-DD97-4EAE-9F1C-57D03E637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572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64C831BC-828A-4334-AD0D-8C95B2ECE905}"/>
            </a:ext>
          </a:extLst>
        </xdr:cNvPr>
        <xdr:cNvSpPr/>
      </xdr:nvSpPr>
      <xdr:spPr>
        <a:xfrm>
          <a:off x="1430020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393C47AE-0D6B-4199-A177-BAD0F1A1DA1F}"/>
            </a:ext>
          </a:extLst>
        </xdr:cNvPr>
        <xdr:cNvSpPr/>
      </xdr:nvSpPr>
      <xdr:spPr>
        <a:xfrm>
          <a:off x="1500505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8625E7C0-9407-4E90-9975-70523F6146CC}"/>
            </a:ext>
          </a:extLst>
        </xdr:cNvPr>
        <xdr:cNvSpPr/>
      </xdr:nvSpPr>
      <xdr:spPr>
        <a:xfrm>
          <a:off x="1427480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28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EBD45882-C2C8-4CE1-98F9-677031EB6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AA852D36-F874-4008-8166-F99B2DBB030C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75C9C6D7-B59D-4B31-A544-C7962FA30FFD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1B207E5E-E401-4903-9799-50BE664AAE8D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25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C52FC119-C610-4AF4-911D-3C6A3AA3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AF9D4A8C-0A9D-4A73-B38F-160280ED1D3D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91CBE94C-846B-42C2-916A-A376BA499512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925C5068-7A8E-442C-845F-C294D2486C2E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27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2DE5D5B6-E558-40E0-B5A7-A9CA8C04D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4B884596-EE78-4870-8156-A51B25CD2120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E48CEB01-B136-4147-A533-F75FFC33D4BD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3D295029-B7EE-4827-83E5-23C402B3F20F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27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118C7234-50F2-489B-AC1F-27DC237FB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300727E5-37BE-4E9C-8E8F-85D30AFA409A}"/>
            </a:ext>
          </a:extLst>
        </xdr:cNvPr>
        <xdr:cNvSpPr/>
      </xdr:nvSpPr>
      <xdr:spPr>
        <a:xfrm>
          <a:off x="137541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7546CF21-ED2C-4700-98B1-D0F51AAC25E9}"/>
            </a:ext>
          </a:extLst>
        </xdr:cNvPr>
        <xdr:cNvSpPr/>
      </xdr:nvSpPr>
      <xdr:spPr>
        <a:xfrm>
          <a:off x="144589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7618783C-6AB0-44FC-B4A2-BE20D9905DC2}"/>
            </a:ext>
          </a:extLst>
        </xdr:cNvPr>
        <xdr:cNvSpPr/>
      </xdr:nvSpPr>
      <xdr:spPr>
        <a:xfrm>
          <a:off x="137287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27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64384A86-510C-424A-81DB-E6857DE17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730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52B71FFB-4A2B-47AF-B0B2-EC7006ED4D9A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244B96AD-3C77-4355-AFEE-2D87258E8A5B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31F081DE-5428-4677-A09D-9C1882CE0135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27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02BCDA06-DA1B-42B3-BB68-37EDEDF1E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B991F42E-C651-4954-9E05-DDDE02B47CF7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BDCEC767-7A8A-425F-95B8-38D028D44A1B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36BBF4EA-AB18-457E-88CA-5817AEA7BDF1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27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89555EF1-D987-4B9D-B8FA-723BC6CCA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B135EC5D-A029-44D0-AA17-CE3DA19833E0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ED468D5E-CDCA-4829-B309-661E2D202510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6366C1C7-68D7-49CC-AE1D-0F83AAC73807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27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FB07E86E-DE48-4454-8994-BA3C835D5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B59D2A01-32E1-43A2-9794-F5E35EF81697}"/>
            </a:ext>
          </a:extLst>
        </xdr:cNvPr>
        <xdr:cNvSpPr/>
      </xdr:nvSpPr>
      <xdr:spPr>
        <a:xfrm>
          <a:off x="143891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271E82EF-8017-4E28-9D8A-1C45CC8527E2}"/>
            </a:ext>
          </a:extLst>
        </xdr:cNvPr>
        <xdr:cNvSpPr/>
      </xdr:nvSpPr>
      <xdr:spPr>
        <a:xfrm>
          <a:off x="150939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AFFC5124-A74C-469A-BAA2-DB54451A7C4C}"/>
            </a:ext>
          </a:extLst>
        </xdr:cNvPr>
        <xdr:cNvSpPr/>
      </xdr:nvSpPr>
      <xdr:spPr>
        <a:xfrm>
          <a:off x="143637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27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E9788CBD-E06B-4CC8-97FC-613F46B8C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2013B354-C9C9-461D-9DD8-A3BED2EF0BB4}"/>
            </a:ext>
          </a:extLst>
        </xdr:cNvPr>
        <xdr:cNvSpPr/>
      </xdr:nvSpPr>
      <xdr:spPr>
        <a:xfrm>
          <a:off x="143891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DAD1C9EB-90BD-45A1-8D52-5FE5A7A8EBE3}"/>
            </a:ext>
          </a:extLst>
        </xdr:cNvPr>
        <xdr:cNvSpPr/>
      </xdr:nvSpPr>
      <xdr:spPr>
        <a:xfrm>
          <a:off x="150939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4F8CA67C-BC93-4747-9128-3280FACC2384}"/>
            </a:ext>
          </a:extLst>
        </xdr:cNvPr>
        <xdr:cNvSpPr/>
      </xdr:nvSpPr>
      <xdr:spPr>
        <a:xfrm>
          <a:off x="143637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28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09A81FF5-9577-426D-B0E4-47797B52C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5A37E0E7-7DF7-40A0-A87A-4FABBD24035E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8C833EF6-94F6-40B0-928F-74401C42FD1D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B091B471-E6C2-4E66-BCB2-6A1563C4D148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23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2E112126-CDE1-4ABB-9CC9-195A19A90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BE81ADE6-22DE-4620-883C-156BF97B64E6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4832DB5D-925F-4790-BED7-A22515433E87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288AE55E-524A-43F1-BCDE-040695090887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23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50296355-F6E8-4077-8A4C-F582C120A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CDB964E9-F5A1-4E47-9CEA-670B496D54F0}"/>
            </a:ext>
          </a:extLst>
        </xdr:cNvPr>
        <xdr:cNvSpPr/>
      </xdr:nvSpPr>
      <xdr:spPr>
        <a:xfrm>
          <a:off x="143002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8D9BE4C0-7491-4B6B-9038-582FF7EDBFBF}"/>
            </a:ext>
          </a:extLst>
        </xdr:cNvPr>
        <xdr:cNvSpPr/>
      </xdr:nvSpPr>
      <xdr:spPr>
        <a:xfrm>
          <a:off x="150050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97CDD50F-92B7-42A9-AAC6-DBADC86465B3}"/>
            </a:ext>
          </a:extLst>
        </xdr:cNvPr>
        <xdr:cNvSpPr/>
      </xdr:nvSpPr>
      <xdr:spPr>
        <a:xfrm>
          <a:off x="142748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23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F1CFB788-466A-4785-8CC0-3123ECD24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10</xdr:row>
      <xdr:rowOff>19050</xdr:rowOff>
    </xdr:from>
    <xdr:to>
      <xdr:col>10</xdr:col>
      <xdr:colOff>723900</xdr:colOff>
      <xdr:row>11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79589693-267A-468F-8FB1-A74FAEEB61D4}"/>
            </a:ext>
          </a:extLst>
        </xdr:cNvPr>
        <xdr:cNvSpPr/>
      </xdr:nvSpPr>
      <xdr:spPr>
        <a:xfrm>
          <a:off x="144526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10</xdr:row>
      <xdr:rowOff>12700</xdr:rowOff>
    </xdr:from>
    <xdr:to>
      <xdr:col>12</xdr:col>
      <xdr:colOff>0</xdr:colOff>
      <xdr:row>10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FA1D0B4E-B631-4375-9D26-3DE53AFD268D}"/>
            </a:ext>
          </a:extLst>
        </xdr:cNvPr>
        <xdr:cNvSpPr/>
      </xdr:nvSpPr>
      <xdr:spPr>
        <a:xfrm>
          <a:off x="151574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25400</xdr:colOff>
      <xdr:row>12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994055D2-6139-4501-85D2-D6BB71F57521}"/>
            </a:ext>
          </a:extLst>
        </xdr:cNvPr>
        <xdr:cNvSpPr/>
      </xdr:nvSpPr>
      <xdr:spPr>
        <a:xfrm>
          <a:off x="144272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12</xdr:row>
      <xdr:rowOff>209550</xdr:rowOff>
    </xdr:from>
    <xdr:to>
      <xdr:col>12</xdr:col>
      <xdr:colOff>717550</xdr:colOff>
      <xdr:row>23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C73A4F13-0DC4-4738-8AC8-4769C985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9</xdr:row>
      <xdr:rowOff>19050</xdr:rowOff>
    </xdr:from>
    <xdr:to>
      <xdr:col>10</xdr:col>
      <xdr:colOff>723900</xdr:colOff>
      <xdr:row>10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796C5819-842F-4CD7-81DB-893D2FCC27E9}"/>
            </a:ext>
          </a:extLst>
        </xdr:cNvPr>
        <xdr:cNvSpPr/>
      </xdr:nvSpPr>
      <xdr:spPr>
        <a:xfrm>
          <a:off x="144526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9</xdr:row>
      <xdr:rowOff>12700</xdr:rowOff>
    </xdr:from>
    <xdr:to>
      <xdr:col>12</xdr:col>
      <xdr:colOff>0</xdr:colOff>
      <xdr:row>9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31EAF344-14DC-41BA-B828-8A7567690384}"/>
            </a:ext>
          </a:extLst>
        </xdr:cNvPr>
        <xdr:cNvSpPr/>
      </xdr:nvSpPr>
      <xdr:spPr>
        <a:xfrm>
          <a:off x="151574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25400</xdr:colOff>
      <xdr:row>11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88DC69B4-114A-4E53-84EC-76BD3924200F}"/>
            </a:ext>
          </a:extLst>
        </xdr:cNvPr>
        <xdr:cNvSpPr/>
      </xdr:nvSpPr>
      <xdr:spPr>
        <a:xfrm>
          <a:off x="144272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11</xdr:row>
      <xdr:rowOff>209550</xdr:rowOff>
    </xdr:from>
    <xdr:to>
      <xdr:col>12</xdr:col>
      <xdr:colOff>565150</xdr:colOff>
      <xdr:row>22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A427CC9B-F93B-47B3-A92B-CFD9BCAF9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9</xdr:row>
      <xdr:rowOff>19050</xdr:rowOff>
    </xdr:from>
    <xdr:to>
      <xdr:col>10</xdr:col>
      <xdr:colOff>723900</xdr:colOff>
      <xdr:row>10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A9B79914-5395-4C3E-A144-1007FBE99056}"/>
            </a:ext>
          </a:extLst>
        </xdr:cNvPr>
        <xdr:cNvSpPr/>
      </xdr:nvSpPr>
      <xdr:spPr>
        <a:xfrm>
          <a:off x="14452600" y="24066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9</xdr:row>
      <xdr:rowOff>12700</xdr:rowOff>
    </xdr:from>
    <xdr:to>
      <xdr:col>12</xdr:col>
      <xdr:colOff>0</xdr:colOff>
      <xdr:row>9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644A3AD3-72A3-415E-A86B-AB7CC73FA468}"/>
            </a:ext>
          </a:extLst>
        </xdr:cNvPr>
        <xdr:cNvSpPr/>
      </xdr:nvSpPr>
      <xdr:spPr>
        <a:xfrm>
          <a:off x="15157450" y="24003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25400</xdr:colOff>
      <xdr:row>11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AE6EA65A-A41D-44C1-A179-9B3503A902BD}"/>
            </a:ext>
          </a:extLst>
        </xdr:cNvPr>
        <xdr:cNvSpPr/>
      </xdr:nvSpPr>
      <xdr:spPr>
        <a:xfrm>
          <a:off x="14427200" y="27686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11</xdr:row>
      <xdr:rowOff>209550</xdr:rowOff>
    </xdr:from>
    <xdr:to>
      <xdr:col>12</xdr:col>
      <xdr:colOff>565150</xdr:colOff>
      <xdr:row>22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3E2921C3-3EBD-484B-803C-E390C83A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978150"/>
          <a:ext cx="2946400" cy="29464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8</xdr:row>
      <xdr:rowOff>19050</xdr:rowOff>
    </xdr:from>
    <xdr:to>
      <xdr:col>10</xdr:col>
      <xdr:colOff>723900</xdr:colOff>
      <xdr:row>9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50978032-3294-4108-A84B-E853626A889A}"/>
            </a:ext>
          </a:extLst>
        </xdr:cNvPr>
        <xdr:cNvSpPr/>
      </xdr:nvSpPr>
      <xdr:spPr>
        <a:xfrm>
          <a:off x="14452600" y="24066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8</xdr:row>
      <xdr:rowOff>12700</xdr:rowOff>
    </xdr:from>
    <xdr:to>
      <xdr:col>12</xdr:col>
      <xdr:colOff>0</xdr:colOff>
      <xdr:row>8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EADF5D01-DD44-4672-A59D-C422C345625F}"/>
            </a:ext>
          </a:extLst>
        </xdr:cNvPr>
        <xdr:cNvSpPr/>
      </xdr:nvSpPr>
      <xdr:spPr>
        <a:xfrm>
          <a:off x="15157450" y="24003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25400</xdr:colOff>
      <xdr:row>10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F278D51B-E711-4E36-B67F-7C785853DDF4}"/>
            </a:ext>
          </a:extLst>
        </xdr:cNvPr>
        <xdr:cNvSpPr/>
      </xdr:nvSpPr>
      <xdr:spPr>
        <a:xfrm>
          <a:off x="14427200" y="27686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10</xdr:row>
      <xdr:rowOff>209550</xdr:rowOff>
    </xdr:from>
    <xdr:to>
      <xdr:col>12</xdr:col>
      <xdr:colOff>565150</xdr:colOff>
      <xdr:row>21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131F1A28-A137-4225-A9A4-005BB8F2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978150"/>
          <a:ext cx="2946400" cy="29464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8</xdr:row>
      <xdr:rowOff>19050</xdr:rowOff>
    </xdr:from>
    <xdr:to>
      <xdr:col>10</xdr:col>
      <xdr:colOff>723900</xdr:colOff>
      <xdr:row>9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F62E3281-92B7-4912-BF71-3FC83B8DA84E}"/>
            </a:ext>
          </a:extLst>
        </xdr:cNvPr>
        <xdr:cNvSpPr/>
      </xdr:nvSpPr>
      <xdr:spPr>
        <a:xfrm>
          <a:off x="14585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8</xdr:row>
      <xdr:rowOff>12700</xdr:rowOff>
    </xdr:from>
    <xdr:to>
      <xdr:col>12</xdr:col>
      <xdr:colOff>0</xdr:colOff>
      <xdr:row>8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CC6BDC03-E261-4EF7-82BA-5E711943BAA6}"/>
            </a:ext>
          </a:extLst>
        </xdr:cNvPr>
        <xdr:cNvSpPr/>
      </xdr:nvSpPr>
      <xdr:spPr>
        <a:xfrm>
          <a:off x="15290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25400</xdr:colOff>
      <xdr:row>10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E15C90AC-A9D7-4092-96E6-004C8259512A}"/>
            </a:ext>
          </a:extLst>
        </xdr:cNvPr>
        <xdr:cNvSpPr/>
      </xdr:nvSpPr>
      <xdr:spPr>
        <a:xfrm>
          <a:off x="14560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10</xdr:row>
      <xdr:rowOff>209550</xdr:rowOff>
    </xdr:from>
    <xdr:to>
      <xdr:col>12</xdr:col>
      <xdr:colOff>565150</xdr:colOff>
      <xdr:row>21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02738800-5ABE-4E96-AF0B-8F9AB25D6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E8156FF2-533B-4D4E-BF4C-46F19E0C01E3}"/>
            </a:ext>
          </a:extLst>
        </xdr:cNvPr>
        <xdr:cNvSpPr/>
      </xdr:nvSpPr>
      <xdr:spPr>
        <a:xfrm>
          <a:off x="14585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F804B03F-9BC6-4678-A63B-8D0C58728297}"/>
            </a:ext>
          </a:extLst>
        </xdr:cNvPr>
        <xdr:cNvSpPr/>
      </xdr:nvSpPr>
      <xdr:spPr>
        <a:xfrm>
          <a:off x="15290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12FD0C97-CE17-468F-BF44-1B08F3FAAEB5}"/>
            </a:ext>
          </a:extLst>
        </xdr:cNvPr>
        <xdr:cNvSpPr/>
      </xdr:nvSpPr>
      <xdr:spPr>
        <a:xfrm>
          <a:off x="14560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565150</xdr:colOff>
      <xdr:row>20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D9EF4F6F-5AAC-41CF-8791-F0F531AAE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1FAD6EE5-9783-4887-A7E9-F4E6A97C9AA7}"/>
            </a:ext>
          </a:extLst>
        </xdr:cNvPr>
        <xdr:cNvSpPr/>
      </xdr:nvSpPr>
      <xdr:spPr>
        <a:xfrm>
          <a:off x="14458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CA14E6F8-228A-4004-9734-D59947C39D9E}"/>
            </a:ext>
          </a:extLst>
        </xdr:cNvPr>
        <xdr:cNvSpPr/>
      </xdr:nvSpPr>
      <xdr:spPr>
        <a:xfrm>
          <a:off x="15163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E6D202E9-A27B-49DB-B000-24E1180A3A29}"/>
            </a:ext>
          </a:extLst>
        </xdr:cNvPr>
        <xdr:cNvSpPr/>
      </xdr:nvSpPr>
      <xdr:spPr>
        <a:xfrm>
          <a:off x="14433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565150</xdr:colOff>
      <xdr:row>21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D68C455A-CF90-4042-8FE4-29CA94831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392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B2F2D484-1255-9228-556E-060028066BCE}"/>
            </a:ext>
          </a:extLst>
        </xdr:cNvPr>
        <xdr:cNvSpPr/>
      </xdr:nvSpPr>
      <xdr:spPr>
        <a:xfrm>
          <a:off x="13335000" y="1892300"/>
          <a:ext cx="6985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3C7205BB-97D8-4BB2-BD2F-DF1FA79A161E}"/>
            </a:ext>
          </a:extLst>
        </xdr:cNvPr>
        <xdr:cNvSpPr/>
      </xdr:nvSpPr>
      <xdr:spPr>
        <a:xfrm>
          <a:off x="14039850" y="1885950"/>
          <a:ext cx="6604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406BCA45-6D38-4F0D-B441-AC2E14BF1223}"/>
            </a:ext>
          </a:extLst>
        </xdr:cNvPr>
        <xdr:cNvSpPr/>
      </xdr:nvSpPr>
      <xdr:spPr>
        <a:xfrm>
          <a:off x="13309600" y="2178050"/>
          <a:ext cx="14160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565150</xdr:colOff>
      <xdr:row>21</xdr:row>
      <xdr:rowOff>107950</xdr:rowOff>
    </xdr:to>
    <xdr:pic>
      <xdr:nvPicPr>
        <xdr:cNvPr id="6" name="图形 5" descr="图表纸、计算器、尺子、荧光笔和铅笔">
          <a:extLst>
            <a:ext uri="{FF2B5EF4-FFF2-40B4-BE49-F238E27FC236}">
              <a16:creationId xmlns:a16="http://schemas.microsoft.com/office/drawing/2014/main" id="{69A29AD4-57EE-EADA-239C-0B760EC39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57250" y="2387600"/>
          <a:ext cx="2946400" cy="294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AF404-D0E9-469C-8048-87E6CD70C514}">
  <sheetPr codeName="Sheet23">
    <pageSetUpPr fitToPage="1"/>
  </sheetPr>
  <dimension ref="A1:L32"/>
  <sheetViews>
    <sheetView tabSelected="1" zoomScaleNormal="100" workbookViewId="0"/>
  </sheetViews>
  <sheetFormatPr defaultColWidth="9.58203125" defaultRowHeight="14" x14ac:dyDescent="0.3"/>
  <cols>
    <col min="1" max="1" width="9.582031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ROUND(SUM(I3:I43),0)</f>
        <v>460</v>
      </c>
      <c r="L2" s="102"/>
    </row>
    <row r="3" spans="1:12" ht="25" hidden="1" customHeight="1" x14ac:dyDescent="0.3">
      <c r="A3" s="103" t="s">
        <v>7</v>
      </c>
      <c r="B3" s="18" t="s">
        <v>50</v>
      </c>
      <c r="C3" s="11">
        <v>0</v>
      </c>
      <c r="D3" s="12">
        <v>12</v>
      </c>
      <c r="E3" s="12">
        <v>12</v>
      </c>
      <c r="F3" s="29">
        <v>12</v>
      </c>
      <c r="G3" s="30">
        <f>(D3-C3)/(F3-C3)</f>
        <v>1</v>
      </c>
      <c r="H3" s="29">
        <v>700</v>
      </c>
      <c r="I3" s="31">
        <f>((D3-E3)/F3)*H3</f>
        <v>0</v>
      </c>
      <c r="K3" s="102"/>
      <c r="L3" s="102"/>
    </row>
    <row r="4" spans="1:12" ht="25" customHeight="1" x14ac:dyDescent="0.3">
      <c r="A4" s="104"/>
      <c r="B4" s="18" t="s">
        <v>31</v>
      </c>
      <c r="C4" s="11">
        <v>0</v>
      </c>
      <c r="D4" s="60">
        <v>9</v>
      </c>
      <c r="E4" s="60">
        <v>9</v>
      </c>
      <c r="F4" s="59">
        <v>65</v>
      </c>
      <c r="G4" s="30">
        <f t="shared" ref="G4:G31" si="0">(D4-C4)/(F4-C4)</f>
        <v>0.13846153846153847</v>
      </c>
      <c r="H4" s="29">
        <v>1800</v>
      </c>
      <c r="I4" s="31">
        <f>((D4-E4)/F4)*H4</f>
        <v>0</v>
      </c>
      <c r="K4" s="102"/>
      <c r="L4" s="102"/>
    </row>
    <row r="5" spans="1:12" ht="25" customHeight="1" x14ac:dyDescent="0.3">
      <c r="A5" s="104"/>
      <c r="B5" s="18" t="s">
        <v>14</v>
      </c>
      <c r="C5" s="11">
        <v>0</v>
      </c>
      <c r="D5" s="12">
        <v>3.7</v>
      </c>
      <c r="E5" s="12">
        <v>3.7</v>
      </c>
      <c r="F5" s="29">
        <v>38</v>
      </c>
      <c r="G5" s="30">
        <f t="shared" si="0"/>
        <v>9.736842105263159E-2</v>
      </c>
      <c r="H5" s="29">
        <v>5500</v>
      </c>
      <c r="I5" s="31">
        <f t="shared" ref="I5:I31" si="1">((D5-E5)/F5)*H5</f>
        <v>0</v>
      </c>
      <c r="J5" s="1" t="s">
        <v>29</v>
      </c>
      <c r="K5" s="6">
        <v>44767</v>
      </c>
      <c r="L5" s="7">
        <v>0.8979166666666667</v>
      </c>
    </row>
    <row r="6" spans="1:12" ht="25" hidden="1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5.5</v>
      </c>
      <c r="E9" s="12">
        <v>5</v>
      </c>
      <c r="F9" s="29">
        <v>8</v>
      </c>
      <c r="G9" s="30">
        <f t="shared" si="0"/>
        <v>0.6875</v>
      </c>
      <c r="H9" s="29">
        <v>500</v>
      </c>
      <c r="I9" s="31">
        <f t="shared" si="1"/>
        <v>31.25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110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96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11</v>
      </c>
      <c r="E13" s="12">
        <v>11</v>
      </c>
      <c r="F13" s="29">
        <v>12</v>
      </c>
      <c r="G13" s="30">
        <f t="shared" si="0"/>
        <v>0.91666666666666663</v>
      </c>
      <c r="H13" s="29">
        <v>400</v>
      </c>
      <c r="I13" s="31">
        <f t="shared" si="1"/>
        <v>0</v>
      </c>
      <c r="K13" s="112"/>
      <c r="L13" s="112"/>
    </row>
    <row r="14" spans="1:12" ht="25" hidden="1" customHeight="1" x14ac:dyDescent="0.3">
      <c r="A14" s="110"/>
      <c r="B14" s="20" t="s">
        <v>54</v>
      </c>
      <c r="C14" s="11"/>
      <c r="D14" s="12" t="s">
        <v>41</v>
      </c>
      <c r="E14" s="12" t="s">
        <v>41</v>
      </c>
      <c r="F14" s="29"/>
      <c r="G14" s="67"/>
      <c r="H14" s="29"/>
      <c r="I14" s="31">
        <v>20</v>
      </c>
      <c r="K14" s="96"/>
      <c r="L14" s="96"/>
    </row>
    <row r="15" spans="1:12" ht="25" customHeight="1" x14ac:dyDescent="0.3">
      <c r="A15" s="110"/>
      <c r="B15" s="20" t="s">
        <v>53</v>
      </c>
      <c r="C15" s="11">
        <v>0</v>
      </c>
      <c r="D15" s="12">
        <v>6</v>
      </c>
      <c r="E15" s="12">
        <v>6</v>
      </c>
      <c r="F15" s="29">
        <v>15</v>
      </c>
      <c r="G15" s="30">
        <f t="shared" si="0"/>
        <v>0.4</v>
      </c>
      <c r="H15" s="29">
        <v>300</v>
      </c>
      <c r="I15" s="31">
        <f t="shared" si="1"/>
        <v>0</v>
      </c>
      <c r="K15" s="96"/>
      <c r="L15" s="96"/>
    </row>
    <row r="16" spans="1:12" ht="25" customHeight="1" x14ac:dyDescent="0.3">
      <c r="A16" s="110"/>
      <c r="B16" s="20" t="s">
        <v>39</v>
      </c>
      <c r="C16" s="11">
        <v>0</v>
      </c>
      <c r="D16" s="12" t="s">
        <v>41</v>
      </c>
      <c r="E16" s="12" t="s">
        <v>41</v>
      </c>
      <c r="F16" s="29"/>
      <c r="G16" s="67"/>
      <c r="H16" s="29"/>
      <c r="I16" s="31"/>
      <c r="K16" s="96"/>
      <c r="L16" s="96"/>
    </row>
    <row r="17" spans="1:12" ht="25" customHeight="1" x14ac:dyDescent="0.3">
      <c r="A17" s="110"/>
      <c r="B17" s="20" t="s">
        <v>46</v>
      </c>
      <c r="C17" s="11">
        <v>0</v>
      </c>
      <c r="D17" s="12">
        <v>196</v>
      </c>
      <c r="E17" s="12">
        <v>180</v>
      </c>
      <c r="F17" s="29">
        <v>495</v>
      </c>
      <c r="G17" s="30">
        <f t="shared" si="0"/>
        <v>0.39595959595959596</v>
      </c>
      <c r="H17" s="29">
        <v>1300</v>
      </c>
      <c r="I17" s="31">
        <f t="shared" si="1"/>
        <v>42.020202020202021</v>
      </c>
      <c r="K17" s="96"/>
      <c r="L17" s="96"/>
    </row>
    <row r="18" spans="1:12" ht="25" customHeight="1" x14ac:dyDescent="0.3">
      <c r="A18" s="110"/>
      <c r="B18" s="20" t="s">
        <v>43</v>
      </c>
      <c r="C18" s="11">
        <v>0</v>
      </c>
      <c r="D18" s="12">
        <v>8.6</v>
      </c>
      <c r="E18" s="12">
        <v>8</v>
      </c>
      <c r="F18" s="29">
        <v>38</v>
      </c>
      <c r="G18" s="30">
        <f t="shared" si="0"/>
        <v>0.22631578947368419</v>
      </c>
      <c r="H18" s="29">
        <v>2800</v>
      </c>
      <c r="I18" s="31">
        <f t="shared" si="1"/>
        <v>44.210526315789444</v>
      </c>
      <c r="K18" s="96"/>
      <c r="L18" s="96"/>
    </row>
    <row r="19" spans="1:12" ht="25" hidden="1" customHeight="1" x14ac:dyDescent="0.3">
      <c r="A19" s="111"/>
      <c r="B19" s="20" t="s">
        <v>18</v>
      </c>
      <c r="C19" s="11">
        <v>0</v>
      </c>
      <c r="D19" s="12">
        <v>31</v>
      </c>
      <c r="E19" s="12">
        <v>31</v>
      </c>
      <c r="F19" s="29">
        <v>31</v>
      </c>
      <c r="G19" s="30">
        <f t="shared" si="0"/>
        <v>1</v>
      </c>
      <c r="H19" s="29">
        <v>230</v>
      </c>
      <c r="I19" s="31">
        <f t="shared" si="1"/>
        <v>0</v>
      </c>
    </row>
    <row r="20" spans="1:12" s="39" customFormat="1" ht="5" customHeight="1" x14ac:dyDescent="0.3">
      <c r="A20" s="49"/>
      <c r="B20" s="56"/>
      <c r="C20" s="50"/>
      <c r="D20" s="51"/>
      <c r="E20" s="51"/>
      <c r="F20" s="52"/>
      <c r="G20" s="53"/>
      <c r="H20" s="52"/>
      <c r="I20" s="54"/>
    </row>
    <row r="21" spans="1:12" ht="25" hidden="1" customHeight="1" x14ac:dyDescent="0.3">
      <c r="A21" s="113" t="s">
        <v>19</v>
      </c>
      <c r="B21" s="21" t="s">
        <v>36</v>
      </c>
      <c r="C21" s="11">
        <v>0</v>
      </c>
      <c r="D21" s="12">
        <v>10</v>
      </c>
      <c r="E21" s="12">
        <v>10</v>
      </c>
      <c r="F21" s="29">
        <v>10</v>
      </c>
      <c r="G21" s="30">
        <f t="shared" si="0"/>
        <v>1</v>
      </c>
      <c r="H21" s="29">
        <v>550</v>
      </c>
      <c r="I21" s="31">
        <f t="shared" si="1"/>
        <v>0</v>
      </c>
    </row>
    <row r="22" spans="1:12" ht="25" customHeight="1" x14ac:dyDescent="0.3">
      <c r="A22" s="114"/>
      <c r="B22" s="21" t="s">
        <v>45</v>
      </c>
      <c r="C22" s="11"/>
      <c r="D22" s="12" t="s">
        <v>41</v>
      </c>
      <c r="E22" s="12" t="s">
        <v>41</v>
      </c>
      <c r="F22" s="29"/>
      <c r="G22" s="86"/>
      <c r="H22" s="29"/>
      <c r="I22" s="31">
        <v>130</v>
      </c>
    </row>
    <row r="23" spans="1:12" ht="25" customHeight="1" x14ac:dyDescent="0.3">
      <c r="A23" s="114"/>
      <c r="B23" s="21" t="s">
        <v>26</v>
      </c>
      <c r="C23" s="11">
        <v>91</v>
      </c>
      <c r="D23" s="12">
        <v>92</v>
      </c>
      <c r="E23" s="12">
        <v>92</v>
      </c>
      <c r="F23" s="29">
        <v>107</v>
      </c>
      <c r="G23" s="30">
        <f t="shared" si="0"/>
        <v>6.25E-2</v>
      </c>
      <c r="H23" s="29">
        <v>500</v>
      </c>
      <c r="I23" s="31">
        <f>((D23-E23)/(F23-E23))*H23</f>
        <v>0</v>
      </c>
    </row>
    <row r="24" spans="1:12" ht="25" customHeight="1" x14ac:dyDescent="0.3">
      <c r="A24" s="115"/>
      <c r="B24" s="21" t="s">
        <v>33</v>
      </c>
      <c r="C24" s="11">
        <v>0</v>
      </c>
      <c r="D24" s="12">
        <v>1</v>
      </c>
      <c r="E24" s="12">
        <v>1</v>
      </c>
      <c r="F24" s="29">
        <v>28</v>
      </c>
      <c r="G24" s="30">
        <f t="shared" si="0"/>
        <v>3.5714285714285712E-2</v>
      </c>
      <c r="H24" s="29">
        <v>2700</v>
      </c>
      <c r="I24" s="31">
        <f t="shared" si="1"/>
        <v>0</v>
      </c>
    </row>
    <row r="25" spans="1:12" s="39" customFormat="1" ht="5" customHeight="1" x14ac:dyDescent="0.3">
      <c r="A25" s="49"/>
      <c r="B25" s="57"/>
      <c r="C25" s="50"/>
      <c r="D25" s="51"/>
      <c r="E25" s="51"/>
      <c r="F25" s="52"/>
      <c r="G25" s="53"/>
      <c r="H25" s="52"/>
      <c r="I25" s="54"/>
    </row>
    <row r="26" spans="1:12" ht="25" customHeight="1" x14ac:dyDescent="0.3">
      <c r="A26" s="97" t="s">
        <v>22</v>
      </c>
      <c r="B26" s="22" t="s">
        <v>32</v>
      </c>
      <c r="C26" s="11">
        <v>0</v>
      </c>
      <c r="D26" s="12">
        <v>4.8</v>
      </c>
      <c r="E26" s="12">
        <v>4.8</v>
      </c>
      <c r="F26" s="29">
        <v>28</v>
      </c>
      <c r="G26" s="30">
        <f t="shared" si="0"/>
        <v>0.17142857142857143</v>
      </c>
      <c r="H26" s="29">
        <v>2500</v>
      </c>
      <c r="I26" s="31">
        <f t="shared" si="1"/>
        <v>0</v>
      </c>
    </row>
    <row r="27" spans="1:12" ht="25" hidden="1" customHeight="1" x14ac:dyDescent="0.3">
      <c r="A27" s="98"/>
      <c r="B27" s="22" t="s">
        <v>47</v>
      </c>
      <c r="C27" s="11">
        <v>0</v>
      </c>
      <c r="D27" s="12">
        <v>8</v>
      </c>
      <c r="E27" s="12">
        <v>8</v>
      </c>
      <c r="F27" s="29">
        <v>8</v>
      </c>
      <c r="G27" s="30">
        <f t="shared" si="0"/>
        <v>1</v>
      </c>
      <c r="H27" s="29">
        <v>450</v>
      </c>
      <c r="I27" s="31">
        <f t="shared" si="1"/>
        <v>0</v>
      </c>
    </row>
    <row r="28" spans="1:12" s="39" customFormat="1" ht="5" customHeight="1" x14ac:dyDescent="0.3">
      <c r="A28" s="49"/>
      <c r="B28" s="58"/>
      <c r="C28" s="50"/>
      <c r="D28" s="51"/>
      <c r="E28" s="51"/>
      <c r="F28" s="52"/>
      <c r="G28" s="53"/>
      <c r="H28" s="52"/>
      <c r="I28" s="54"/>
    </row>
    <row r="29" spans="1:12" ht="25" customHeight="1" x14ac:dyDescent="0.3">
      <c r="A29" s="99" t="s">
        <v>24</v>
      </c>
      <c r="B29" s="23" t="s">
        <v>34</v>
      </c>
      <c r="C29" s="11">
        <v>72</v>
      </c>
      <c r="D29" s="12">
        <v>73</v>
      </c>
      <c r="E29" s="12">
        <v>73</v>
      </c>
      <c r="F29" s="29">
        <v>108</v>
      </c>
      <c r="G29" s="30">
        <f t="shared" si="0"/>
        <v>2.7777777777777776E-2</v>
      </c>
      <c r="H29" s="29">
        <v>750</v>
      </c>
      <c r="I29" s="31">
        <f>((D29-E29)/(F29-E29))*H29</f>
        <v>0</v>
      </c>
      <c r="K29" s="68"/>
    </row>
    <row r="30" spans="1:12" ht="25" hidden="1" customHeight="1" x14ac:dyDescent="0.3">
      <c r="A30" s="100"/>
      <c r="B30" s="23" t="s">
        <v>48</v>
      </c>
      <c r="C30" s="11">
        <v>0</v>
      </c>
      <c r="D30" s="12">
        <v>8</v>
      </c>
      <c r="E30" s="12">
        <v>8</v>
      </c>
      <c r="F30" s="29">
        <v>8</v>
      </c>
      <c r="G30" s="30">
        <f t="shared" si="0"/>
        <v>1</v>
      </c>
      <c r="H30" s="29">
        <v>450</v>
      </c>
      <c r="I30" s="31">
        <f t="shared" si="1"/>
        <v>0</v>
      </c>
    </row>
    <row r="31" spans="1:12" ht="25" customHeight="1" x14ac:dyDescent="0.3">
      <c r="A31" s="101"/>
      <c r="B31" s="24" t="s">
        <v>40</v>
      </c>
      <c r="C31" s="13">
        <v>0</v>
      </c>
      <c r="D31" s="14">
        <v>3</v>
      </c>
      <c r="E31" s="14">
        <v>2</v>
      </c>
      <c r="F31" s="32">
        <v>28</v>
      </c>
      <c r="G31" s="33">
        <f t="shared" si="0"/>
        <v>0.10714285714285714</v>
      </c>
      <c r="H31" s="32">
        <v>2300</v>
      </c>
      <c r="I31" s="34">
        <f t="shared" si="1"/>
        <v>82.142857142857139</v>
      </c>
    </row>
    <row r="32" spans="1:12" s="39" customFormat="1" ht="5" customHeight="1" x14ac:dyDescent="0.3">
      <c r="A32" s="42"/>
      <c r="B32" s="43"/>
      <c r="C32" s="44"/>
      <c r="D32" s="45"/>
      <c r="E32" s="45"/>
      <c r="F32" s="46"/>
      <c r="G32" s="47"/>
      <c r="H32" s="46"/>
      <c r="I32" s="48"/>
    </row>
  </sheetData>
  <mergeCells count="8">
    <mergeCell ref="A26:A27"/>
    <mergeCell ref="A29:A31"/>
    <mergeCell ref="K2:L4"/>
    <mergeCell ref="A3:A6"/>
    <mergeCell ref="A8:A11"/>
    <mergeCell ref="A13:A19"/>
    <mergeCell ref="K13:L13"/>
    <mergeCell ref="A21:A24"/>
  </mergeCells>
  <phoneticPr fontId="1" type="noConversion"/>
  <conditionalFormatting sqref="G3:G6 G8 G23:G32 G10:G21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{23070D8F-9BA9-4B7A-A8C4-C65F9AE7CC22}</x14:id>
        </ext>
      </extLst>
    </cfRule>
  </conditionalFormatting>
  <conditionalFormatting sqref="G23:G25 G21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{4D25CA4C-9AC0-4D11-8105-698E77C82D97}</x14:id>
        </ext>
      </extLst>
    </cfRule>
  </conditionalFormatting>
  <conditionalFormatting sqref="G26:G28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{774FBDA1-D482-414B-A799-03365E7F7D78}</x14:id>
        </ext>
      </extLst>
    </cfRule>
  </conditionalFormatting>
  <conditionalFormatting sqref="G29:G32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{877E5A4B-6C8B-4060-9DDA-37D26CFB4508}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{32F31925-7B21-40EF-9A5B-4EAE471B26E0}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{389C6B0D-4107-46B9-876B-8B6C7D40D7D6}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{6DCB81CD-1EAB-46CD-8C1B-01E5C4AC5512}</x14:id>
        </ext>
      </extLst>
    </cfRule>
  </conditionalFormatting>
  <conditionalFormatting sqref="G13:G19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{7618F024-5FB1-4193-B0A8-621E0BDBD144}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{97C28FA0-8464-493F-800E-61564D49B672}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{334095AD-AD76-488E-A733-E56697C9D6E4}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{8BE4CB7E-21FA-4381-9814-FA18A08A7DD4}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{B6052DCE-820E-4749-BC75-93834FAAA48E}</x14:id>
        </ext>
      </extLst>
    </cfRule>
  </conditionalFormatting>
  <conditionalFormatting sqref="G22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{AE8DFC7A-B7C7-4C83-BED5-A4F5334CAE03}</x14:id>
        </ext>
      </extLst>
    </cfRule>
  </conditionalFormatting>
  <conditionalFormatting sqref="G22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{C8C3339C-55F6-4661-BC8E-427A4591C4A8}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{3B30165A-CFCD-4371-8548-974DC0BDF14B}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{66808625-87D2-4C19-B2BC-A165AA91DB2E}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070D8F-9BA9-4B7A-A8C4-C65F9AE7CC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G23:G32 G10:G21</xm:sqref>
        </x14:conditionalFormatting>
        <x14:conditionalFormatting xmlns:xm="http://schemas.microsoft.com/office/excel/2006/main">
          <x14:cfRule type="dataBar" id="{4D25CA4C-9AC0-4D11-8105-698E77C82D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G23:G25 G21</xm:sqref>
        </x14:conditionalFormatting>
        <x14:conditionalFormatting xmlns:xm="http://schemas.microsoft.com/office/excel/2006/main">
          <x14:cfRule type="dataBar" id="{774FBDA1-D482-414B-A799-03365E7F7D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G26:G28</xm:sqref>
        </x14:conditionalFormatting>
        <x14:conditionalFormatting xmlns:xm="http://schemas.microsoft.com/office/excel/2006/main">
          <x14:cfRule type="dataBar" id="{877E5A4B-6C8B-4060-9DDA-37D26CFB45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G29:G32</xm:sqref>
        </x14:conditionalFormatting>
        <x14:conditionalFormatting xmlns:xm="http://schemas.microsoft.com/office/excel/2006/main">
          <x14:cfRule type="dataBar" id="{32F31925-7B21-40EF-9A5B-4EAE471B26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389C6B0D-4107-46B9-876B-8B6C7D40D7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CB81CD-1EAB-46CD-8C1B-01E5C4AC55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7618F024-5FB1-4193-B0A8-621E0BDBD1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G13:G19</xm:sqref>
        </x14:conditionalFormatting>
        <x14:conditionalFormatting xmlns:xm="http://schemas.microsoft.com/office/excel/2006/main">
          <x14:cfRule type="dataBar" id="{97C28FA0-8464-493F-800E-61564D49B6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334095AD-AD76-488E-A733-E56697C9D6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BE4CB7E-21FA-4381-9814-FA18A08A7D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6052DCE-820E-4749-BC75-93834FAAA4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AE8DFC7A-B7C7-4C83-BED5-A4F5334CAE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C8C3339C-55F6-4661-BC8E-427A4591C4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3B30165A-CFCD-4371-8548-974DC0BDF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808625-87D2-4C19-B2BC-A165AA91DB2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DB52B-CC67-402B-8476-12350FF42DD0}">
  <sheetPr codeName="Sheet22">
    <pageSetUpPr fitToPage="1"/>
  </sheetPr>
  <dimension ref="A1:L32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ROUND(SUM(I3:I43),0)</f>
        <v>119</v>
      </c>
      <c r="L2" s="102"/>
    </row>
    <row r="3" spans="1:12" ht="25" hidden="1" customHeight="1" x14ac:dyDescent="0.3">
      <c r="A3" s="103" t="s">
        <v>7</v>
      </c>
      <c r="B3" s="18" t="s">
        <v>50</v>
      </c>
      <c r="C3" s="11">
        <v>0</v>
      </c>
      <c r="D3" s="12">
        <v>12</v>
      </c>
      <c r="E3" s="12">
        <v>12</v>
      </c>
      <c r="F3" s="29">
        <v>12</v>
      </c>
      <c r="G3" s="30">
        <f>(D3-C3)/(F3-C3)</f>
        <v>1</v>
      </c>
      <c r="H3" s="29">
        <v>700</v>
      </c>
      <c r="I3" s="31">
        <f>((D3-E3)/F3)*H3</f>
        <v>0</v>
      </c>
      <c r="K3" s="102"/>
      <c r="L3" s="102"/>
    </row>
    <row r="4" spans="1:12" ht="25" customHeight="1" x14ac:dyDescent="0.3">
      <c r="A4" s="104"/>
      <c r="B4" s="18" t="s">
        <v>31</v>
      </c>
      <c r="C4" s="11">
        <v>0</v>
      </c>
      <c r="D4" s="60">
        <v>9</v>
      </c>
      <c r="E4" s="60">
        <v>9</v>
      </c>
      <c r="F4" s="59">
        <v>65</v>
      </c>
      <c r="G4" s="30">
        <f t="shared" ref="G4:G31" si="0">(D4-C4)/(F4-C4)</f>
        <v>0.13846153846153847</v>
      </c>
      <c r="H4" s="29">
        <v>1800</v>
      </c>
      <c r="I4" s="31">
        <f>((D4-E4)/F4)*H4</f>
        <v>0</v>
      </c>
      <c r="K4" s="102"/>
      <c r="L4" s="102"/>
    </row>
    <row r="5" spans="1:12" ht="25" customHeight="1" x14ac:dyDescent="0.3">
      <c r="A5" s="104"/>
      <c r="B5" s="18" t="s">
        <v>14</v>
      </c>
      <c r="C5" s="11">
        <v>0</v>
      </c>
      <c r="D5" s="12">
        <v>3.7</v>
      </c>
      <c r="E5" s="12">
        <v>3.7</v>
      </c>
      <c r="F5" s="29">
        <v>38</v>
      </c>
      <c r="G5" s="30">
        <f t="shared" si="0"/>
        <v>9.736842105263159E-2</v>
      </c>
      <c r="H5" s="29">
        <v>5500</v>
      </c>
      <c r="I5" s="31">
        <f t="shared" ref="I5:I31" si="1">((D5-E5)/F5)*H5</f>
        <v>0</v>
      </c>
      <c r="J5" s="1" t="s">
        <v>29</v>
      </c>
      <c r="K5" s="6">
        <v>44766</v>
      </c>
      <c r="L5" s="7">
        <v>0.88402777777777775</v>
      </c>
    </row>
    <row r="6" spans="1:12" ht="25" hidden="1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5</v>
      </c>
      <c r="E9" s="12">
        <v>5</v>
      </c>
      <c r="F9" s="29">
        <v>8</v>
      </c>
      <c r="G9" s="30">
        <f t="shared" si="0"/>
        <v>0.625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20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95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11</v>
      </c>
      <c r="E13" s="12">
        <v>11</v>
      </c>
      <c r="F13" s="29">
        <v>12</v>
      </c>
      <c r="G13" s="30">
        <f t="shared" si="0"/>
        <v>0.91666666666666663</v>
      </c>
      <c r="H13" s="29">
        <v>400</v>
      </c>
      <c r="I13" s="31">
        <f t="shared" si="1"/>
        <v>0</v>
      </c>
      <c r="K13" s="112"/>
      <c r="L13" s="112"/>
    </row>
    <row r="14" spans="1:12" ht="25" hidden="1" customHeight="1" x14ac:dyDescent="0.3">
      <c r="A14" s="110"/>
      <c r="B14" s="20" t="s">
        <v>54</v>
      </c>
      <c r="C14" s="11"/>
      <c r="D14" s="12" t="s">
        <v>41</v>
      </c>
      <c r="E14" s="12" t="s">
        <v>41</v>
      </c>
      <c r="F14" s="29"/>
      <c r="G14" s="67"/>
      <c r="H14" s="29"/>
      <c r="I14" s="31">
        <v>20</v>
      </c>
      <c r="K14" s="95"/>
      <c r="L14" s="95"/>
    </row>
    <row r="15" spans="1:12" ht="25" customHeight="1" x14ac:dyDescent="0.3">
      <c r="A15" s="110"/>
      <c r="B15" s="20" t="s">
        <v>53</v>
      </c>
      <c r="C15" s="11">
        <v>0</v>
      </c>
      <c r="D15" s="12">
        <v>6</v>
      </c>
      <c r="E15" s="12">
        <v>5</v>
      </c>
      <c r="F15" s="29">
        <v>15</v>
      </c>
      <c r="G15" s="30">
        <f t="shared" si="0"/>
        <v>0.4</v>
      </c>
      <c r="H15" s="29">
        <v>300</v>
      </c>
      <c r="I15" s="31">
        <f t="shared" si="1"/>
        <v>20</v>
      </c>
      <c r="K15" s="95"/>
      <c r="L15" s="95"/>
    </row>
    <row r="16" spans="1:12" ht="25" customHeight="1" x14ac:dyDescent="0.3">
      <c r="A16" s="110"/>
      <c r="B16" s="20" t="s">
        <v>39</v>
      </c>
      <c r="C16" s="11">
        <v>0</v>
      </c>
      <c r="D16" s="12" t="s">
        <v>41</v>
      </c>
      <c r="E16" s="12" t="s">
        <v>41</v>
      </c>
      <c r="F16" s="29"/>
      <c r="G16" s="67"/>
      <c r="H16" s="29"/>
      <c r="I16" s="31"/>
      <c r="K16" s="95"/>
      <c r="L16" s="95"/>
    </row>
    <row r="17" spans="1:12" ht="25" customHeight="1" x14ac:dyDescent="0.3">
      <c r="A17" s="110"/>
      <c r="B17" s="20" t="s">
        <v>46</v>
      </c>
      <c r="C17" s="11">
        <v>0</v>
      </c>
      <c r="D17" s="12">
        <v>180</v>
      </c>
      <c r="E17" s="12">
        <v>180</v>
      </c>
      <c r="F17" s="29">
        <v>495</v>
      </c>
      <c r="G17" s="30">
        <f t="shared" si="0"/>
        <v>0.36363636363636365</v>
      </c>
      <c r="H17" s="29">
        <v>1300</v>
      </c>
      <c r="I17" s="31">
        <f t="shared" si="1"/>
        <v>0</v>
      </c>
      <c r="K17" s="95"/>
      <c r="L17" s="95"/>
    </row>
    <row r="18" spans="1:12" ht="25" customHeight="1" x14ac:dyDescent="0.3">
      <c r="A18" s="110"/>
      <c r="B18" s="20" t="s">
        <v>43</v>
      </c>
      <c r="C18" s="11">
        <v>0</v>
      </c>
      <c r="D18" s="12">
        <v>8</v>
      </c>
      <c r="E18" s="12">
        <v>7.6</v>
      </c>
      <c r="F18" s="29">
        <v>38</v>
      </c>
      <c r="G18" s="30">
        <f t="shared" si="0"/>
        <v>0.21052631578947367</v>
      </c>
      <c r="H18" s="29">
        <v>2800</v>
      </c>
      <c r="I18" s="31">
        <f t="shared" si="1"/>
        <v>29.473684210526343</v>
      </c>
      <c r="K18" s="95"/>
      <c r="L18" s="95"/>
    </row>
    <row r="19" spans="1:12" ht="25" hidden="1" customHeight="1" x14ac:dyDescent="0.3">
      <c r="A19" s="111"/>
      <c r="B19" s="20" t="s">
        <v>18</v>
      </c>
      <c r="C19" s="11">
        <v>0</v>
      </c>
      <c r="D19" s="12">
        <v>31</v>
      </c>
      <c r="E19" s="12">
        <v>31</v>
      </c>
      <c r="F19" s="29">
        <v>31</v>
      </c>
      <c r="G19" s="30">
        <f t="shared" si="0"/>
        <v>1</v>
      </c>
      <c r="H19" s="29">
        <v>230</v>
      </c>
      <c r="I19" s="31">
        <f t="shared" si="1"/>
        <v>0</v>
      </c>
    </row>
    <row r="20" spans="1:12" s="39" customFormat="1" ht="5" customHeight="1" x14ac:dyDescent="0.3">
      <c r="A20" s="49"/>
      <c r="B20" s="56"/>
      <c r="C20" s="50"/>
      <c r="D20" s="51"/>
      <c r="E20" s="51"/>
      <c r="F20" s="52"/>
      <c r="G20" s="53"/>
      <c r="H20" s="52"/>
      <c r="I20" s="54"/>
    </row>
    <row r="21" spans="1:12" ht="25" hidden="1" customHeight="1" x14ac:dyDescent="0.3">
      <c r="A21" s="113" t="s">
        <v>19</v>
      </c>
      <c r="B21" s="21" t="s">
        <v>36</v>
      </c>
      <c r="C21" s="11">
        <v>0</v>
      </c>
      <c r="D21" s="12">
        <v>10</v>
      </c>
      <c r="E21" s="12">
        <v>10</v>
      </c>
      <c r="F21" s="29">
        <v>10</v>
      </c>
      <c r="G21" s="30">
        <f t="shared" si="0"/>
        <v>1</v>
      </c>
      <c r="H21" s="29">
        <v>550</v>
      </c>
      <c r="I21" s="31">
        <f t="shared" si="1"/>
        <v>0</v>
      </c>
    </row>
    <row r="22" spans="1:12" ht="25" customHeight="1" x14ac:dyDescent="0.3">
      <c r="A22" s="114"/>
      <c r="B22" s="21" t="s">
        <v>45</v>
      </c>
      <c r="C22" s="11"/>
      <c r="D22" s="12" t="s">
        <v>41</v>
      </c>
      <c r="E22" s="12" t="s">
        <v>41</v>
      </c>
      <c r="F22" s="29"/>
      <c r="G22" s="86"/>
      <c r="H22" s="29"/>
      <c r="I22" s="31">
        <v>30</v>
      </c>
    </row>
    <row r="23" spans="1:12" ht="25" customHeight="1" x14ac:dyDescent="0.3">
      <c r="A23" s="114"/>
      <c r="B23" s="21" t="s">
        <v>26</v>
      </c>
      <c r="C23" s="11">
        <v>91</v>
      </c>
      <c r="D23" s="12">
        <v>92</v>
      </c>
      <c r="E23" s="12">
        <v>92</v>
      </c>
      <c r="F23" s="29">
        <v>107</v>
      </c>
      <c r="G23" s="30">
        <f t="shared" si="0"/>
        <v>6.25E-2</v>
      </c>
      <c r="H23" s="29">
        <v>500</v>
      </c>
      <c r="I23" s="31">
        <f>((D23-E23)/(F23-E23))*H23</f>
        <v>0</v>
      </c>
    </row>
    <row r="24" spans="1:12" ht="25" customHeight="1" x14ac:dyDescent="0.3">
      <c r="A24" s="115"/>
      <c r="B24" s="21" t="s">
        <v>33</v>
      </c>
      <c r="C24" s="11">
        <v>0</v>
      </c>
      <c r="D24" s="12">
        <v>1</v>
      </c>
      <c r="E24" s="12">
        <v>1</v>
      </c>
      <c r="F24" s="29">
        <v>28</v>
      </c>
      <c r="G24" s="30">
        <f t="shared" si="0"/>
        <v>3.5714285714285712E-2</v>
      </c>
      <c r="H24" s="29">
        <v>2700</v>
      </c>
      <c r="I24" s="31">
        <f t="shared" si="1"/>
        <v>0</v>
      </c>
    </row>
    <row r="25" spans="1:12" s="39" customFormat="1" ht="5" customHeight="1" x14ac:dyDescent="0.3">
      <c r="A25" s="49"/>
      <c r="B25" s="57"/>
      <c r="C25" s="50"/>
      <c r="D25" s="51"/>
      <c r="E25" s="51"/>
      <c r="F25" s="52"/>
      <c r="G25" s="53"/>
      <c r="H25" s="52"/>
      <c r="I25" s="54"/>
    </row>
    <row r="26" spans="1:12" ht="25" customHeight="1" x14ac:dyDescent="0.3">
      <c r="A26" s="97" t="s">
        <v>22</v>
      </c>
      <c r="B26" s="22" t="s">
        <v>32</v>
      </c>
      <c r="C26" s="11">
        <v>0</v>
      </c>
      <c r="D26" s="12">
        <v>4.8</v>
      </c>
      <c r="E26" s="12">
        <v>4.8</v>
      </c>
      <c r="F26" s="29">
        <v>28</v>
      </c>
      <c r="G26" s="30">
        <f t="shared" si="0"/>
        <v>0.17142857142857143</v>
      </c>
      <c r="H26" s="29">
        <v>2500</v>
      </c>
      <c r="I26" s="31">
        <f t="shared" si="1"/>
        <v>0</v>
      </c>
    </row>
    <row r="27" spans="1:12" ht="25" hidden="1" customHeight="1" x14ac:dyDescent="0.3">
      <c r="A27" s="98"/>
      <c r="B27" s="22" t="s">
        <v>47</v>
      </c>
      <c r="C27" s="11">
        <v>0</v>
      </c>
      <c r="D27" s="12">
        <v>8</v>
      </c>
      <c r="E27" s="12">
        <v>8</v>
      </c>
      <c r="F27" s="29">
        <v>8</v>
      </c>
      <c r="G27" s="30">
        <f t="shared" si="0"/>
        <v>1</v>
      </c>
      <c r="H27" s="29">
        <v>450</v>
      </c>
      <c r="I27" s="31">
        <f t="shared" si="1"/>
        <v>0</v>
      </c>
    </row>
    <row r="28" spans="1:12" s="39" customFormat="1" ht="5" customHeight="1" x14ac:dyDescent="0.3">
      <c r="A28" s="49"/>
      <c r="B28" s="58"/>
      <c r="C28" s="50"/>
      <c r="D28" s="51"/>
      <c r="E28" s="51"/>
      <c r="F28" s="52"/>
      <c r="G28" s="53"/>
      <c r="H28" s="52"/>
      <c r="I28" s="54"/>
    </row>
    <row r="29" spans="1:12" ht="25" customHeight="1" x14ac:dyDescent="0.3">
      <c r="A29" s="99" t="s">
        <v>24</v>
      </c>
      <c r="B29" s="23" t="s">
        <v>34</v>
      </c>
      <c r="C29" s="11">
        <v>72</v>
      </c>
      <c r="D29" s="12">
        <v>73</v>
      </c>
      <c r="E29" s="12">
        <v>73</v>
      </c>
      <c r="F29" s="29">
        <v>108</v>
      </c>
      <c r="G29" s="30">
        <f t="shared" si="0"/>
        <v>2.7777777777777776E-2</v>
      </c>
      <c r="H29" s="29">
        <v>750</v>
      </c>
      <c r="I29" s="31">
        <f>((D29-E29)/(F29-E29))*H29</f>
        <v>0</v>
      </c>
      <c r="K29" s="68"/>
    </row>
    <row r="30" spans="1:12" ht="25" hidden="1" customHeight="1" x14ac:dyDescent="0.3">
      <c r="A30" s="100"/>
      <c r="B30" s="23" t="s">
        <v>48</v>
      </c>
      <c r="C30" s="11">
        <v>0</v>
      </c>
      <c r="D30" s="12">
        <v>8</v>
      </c>
      <c r="E30" s="12">
        <v>8</v>
      </c>
      <c r="F30" s="29">
        <v>8</v>
      </c>
      <c r="G30" s="30">
        <f t="shared" si="0"/>
        <v>1</v>
      </c>
      <c r="H30" s="29">
        <v>450</v>
      </c>
      <c r="I30" s="31">
        <f t="shared" si="1"/>
        <v>0</v>
      </c>
    </row>
    <row r="31" spans="1:12" ht="25" customHeight="1" x14ac:dyDescent="0.3">
      <c r="A31" s="101"/>
      <c r="B31" s="24" t="s">
        <v>40</v>
      </c>
      <c r="C31" s="13">
        <v>0</v>
      </c>
      <c r="D31" s="14">
        <v>2</v>
      </c>
      <c r="E31" s="14">
        <v>2</v>
      </c>
      <c r="F31" s="32">
        <v>28</v>
      </c>
      <c r="G31" s="33">
        <f t="shared" si="0"/>
        <v>7.1428571428571425E-2</v>
      </c>
      <c r="H31" s="32">
        <v>2300</v>
      </c>
      <c r="I31" s="34">
        <f t="shared" si="1"/>
        <v>0</v>
      </c>
    </row>
    <row r="32" spans="1:12" s="39" customFormat="1" ht="5" customHeight="1" x14ac:dyDescent="0.3">
      <c r="A32" s="42"/>
      <c r="B32" s="43"/>
      <c r="C32" s="44"/>
      <c r="D32" s="45"/>
      <c r="E32" s="45"/>
      <c r="F32" s="46"/>
      <c r="G32" s="47"/>
      <c r="H32" s="46"/>
      <c r="I32" s="48"/>
    </row>
  </sheetData>
  <mergeCells count="8">
    <mergeCell ref="A26:A27"/>
    <mergeCell ref="A29:A31"/>
    <mergeCell ref="K2:L4"/>
    <mergeCell ref="A3:A6"/>
    <mergeCell ref="A8:A11"/>
    <mergeCell ref="A13:A19"/>
    <mergeCell ref="K13:L13"/>
    <mergeCell ref="A21:A24"/>
  </mergeCells>
  <phoneticPr fontId="1" type="noConversion"/>
  <conditionalFormatting sqref="G3:G6 G8 G23:G32 G10:G21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{92E1AD80-D525-47F7-B980-94499D97A1F3}</x14:id>
        </ext>
      </extLst>
    </cfRule>
  </conditionalFormatting>
  <conditionalFormatting sqref="G23:G25 G21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{D23F33DF-C726-45BF-8999-4ACA95DB6CF9}</x14:id>
        </ext>
      </extLst>
    </cfRule>
  </conditionalFormatting>
  <conditionalFormatting sqref="G26:G28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{EA4AFFE1-AAC0-4730-8830-80CBD0E09F63}</x14:id>
        </ext>
      </extLst>
    </cfRule>
  </conditionalFormatting>
  <conditionalFormatting sqref="G29:G32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{7C5F05B2-078D-4651-A45F-69FA0711BCD5}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{88EC7082-06E6-45FD-B7B1-582DACDF32FA}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{471E4F03-6BA9-4D19-97DE-46C2E3247C34}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{6779B2CC-2539-49BB-A4E1-20196BD6F852}</x14:id>
        </ext>
      </extLst>
    </cfRule>
  </conditionalFormatting>
  <conditionalFormatting sqref="G13:G19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{9CEA0AD7-BB26-4726-9F81-EB0B40AEE08A}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{54748DB4-DF9A-4BFF-97D8-F589D5F96B46}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{AFF144D9-AEE1-4BFA-A5CB-0EE1C719A8B4}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{166B79DD-6F00-467F-A8AF-D9A466A251B8}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{48090862-85E1-4F5A-8DC0-7828CD91917B}</x14:id>
        </ext>
      </extLst>
    </cfRule>
  </conditionalFormatting>
  <conditionalFormatting sqref="G22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{E601DFCE-F3AF-49E0-8160-54113604CA90}</x14:id>
        </ext>
      </extLst>
    </cfRule>
  </conditionalFormatting>
  <conditionalFormatting sqref="G22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{88B2418F-8FA8-4620-9B69-88C71B2B1808}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{E5F6FB46-2C11-4E48-A8DE-956CC5973079}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{A8B64583-D777-41C7-8215-D09204677C48}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E1AD80-D525-47F7-B980-94499D97A1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G23:G32 G10:G21</xm:sqref>
        </x14:conditionalFormatting>
        <x14:conditionalFormatting xmlns:xm="http://schemas.microsoft.com/office/excel/2006/main">
          <x14:cfRule type="dataBar" id="{D23F33DF-C726-45BF-8999-4ACA95DB6C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G23:G25 G21</xm:sqref>
        </x14:conditionalFormatting>
        <x14:conditionalFormatting xmlns:xm="http://schemas.microsoft.com/office/excel/2006/main">
          <x14:cfRule type="dataBar" id="{EA4AFFE1-AAC0-4730-8830-80CBD0E09F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G26:G28</xm:sqref>
        </x14:conditionalFormatting>
        <x14:conditionalFormatting xmlns:xm="http://schemas.microsoft.com/office/excel/2006/main">
          <x14:cfRule type="dataBar" id="{7C5F05B2-078D-4651-A45F-69FA0711BC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G29:G32</xm:sqref>
        </x14:conditionalFormatting>
        <x14:conditionalFormatting xmlns:xm="http://schemas.microsoft.com/office/excel/2006/main">
          <x14:cfRule type="dataBar" id="{88EC7082-06E6-45FD-B7B1-582DACDF32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71E4F03-6BA9-4D19-97DE-46C2E3247C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779B2CC-2539-49BB-A4E1-20196BD6F8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9CEA0AD7-BB26-4726-9F81-EB0B40AEE0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G13:G19</xm:sqref>
        </x14:conditionalFormatting>
        <x14:conditionalFormatting xmlns:xm="http://schemas.microsoft.com/office/excel/2006/main">
          <x14:cfRule type="dataBar" id="{54748DB4-DF9A-4BFF-97D8-F589D5F96B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AFF144D9-AEE1-4BFA-A5CB-0EE1C719A8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166B79DD-6F00-467F-A8AF-D9A466A251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8090862-85E1-4F5A-8DC0-7828CD9191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E601DFCE-F3AF-49E0-8160-54113604CA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88B2418F-8FA8-4620-9B69-88C71B2B18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E5F6FB46-2C11-4E48-A8DE-956CC59730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8B64583-D777-41C7-8215-D09204677C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00C18-E4D6-434C-85AD-23F2E7FE1F66}">
  <sheetPr codeName="Sheet21">
    <pageSetUpPr fitToPage="1"/>
  </sheetPr>
  <dimension ref="A1:L32"/>
  <sheetViews>
    <sheetView zoomScaleNormal="100" workbookViewId="0">
      <selection activeCell="B1" sqref="B1:B1048576"/>
    </sheetView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ROUND(SUM(I3:I43),0)</f>
        <v>462</v>
      </c>
      <c r="L2" s="102"/>
    </row>
    <row r="3" spans="1:12" ht="25" hidden="1" customHeight="1" x14ac:dyDescent="0.3">
      <c r="A3" s="103" t="s">
        <v>7</v>
      </c>
      <c r="B3" s="18" t="s">
        <v>50</v>
      </c>
      <c r="C3" s="11">
        <v>0</v>
      </c>
      <c r="D3" s="12">
        <v>12</v>
      </c>
      <c r="E3" s="12">
        <v>12</v>
      </c>
      <c r="F3" s="29">
        <v>12</v>
      </c>
      <c r="G3" s="30">
        <f>(D3-C3)/(F3-C3)</f>
        <v>1</v>
      </c>
      <c r="H3" s="29">
        <v>700</v>
      </c>
      <c r="I3" s="31">
        <f>((D3-E3)/F3)*H3</f>
        <v>0</v>
      </c>
      <c r="K3" s="102"/>
      <c r="L3" s="102"/>
    </row>
    <row r="4" spans="1:12" ht="25" customHeight="1" x14ac:dyDescent="0.3">
      <c r="A4" s="104"/>
      <c r="B4" s="18" t="s">
        <v>31</v>
      </c>
      <c r="C4" s="11">
        <v>0</v>
      </c>
      <c r="D4" s="60">
        <v>9</v>
      </c>
      <c r="E4" s="60">
        <v>8.5</v>
      </c>
      <c r="F4" s="59">
        <v>65</v>
      </c>
      <c r="G4" s="30">
        <f t="shared" ref="G4:G31" si="0">(D4-C4)/(F4-C4)</f>
        <v>0.13846153846153847</v>
      </c>
      <c r="H4" s="29">
        <v>1800</v>
      </c>
      <c r="I4" s="31">
        <f>((D4-E4)/F4)*H4+15</f>
        <v>28.846153846153847</v>
      </c>
      <c r="K4" s="102"/>
      <c r="L4" s="102"/>
    </row>
    <row r="5" spans="1:12" ht="25" customHeight="1" x14ac:dyDescent="0.3">
      <c r="A5" s="104"/>
      <c r="B5" s="18" t="s">
        <v>14</v>
      </c>
      <c r="C5" s="11">
        <v>0</v>
      </c>
      <c r="D5" s="12">
        <v>3.7</v>
      </c>
      <c r="E5" s="12">
        <v>3.7</v>
      </c>
      <c r="F5" s="29">
        <v>38</v>
      </c>
      <c r="G5" s="30">
        <f t="shared" si="0"/>
        <v>9.736842105263159E-2</v>
      </c>
      <c r="H5" s="29">
        <v>5500</v>
      </c>
      <c r="I5" s="31">
        <f t="shared" ref="I5:I31" si="1">((D5-E5)/F5)*H5</f>
        <v>0</v>
      </c>
      <c r="J5" s="1" t="s">
        <v>29</v>
      </c>
      <c r="K5" s="6">
        <v>44765</v>
      </c>
      <c r="L5" s="7">
        <v>0.89444444444444438</v>
      </c>
    </row>
    <row r="6" spans="1:12" ht="25" hidden="1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5</v>
      </c>
      <c r="E9" s="12">
        <v>4</v>
      </c>
      <c r="F9" s="29">
        <v>8</v>
      </c>
      <c r="G9" s="30">
        <f t="shared" si="0"/>
        <v>0.625</v>
      </c>
      <c r="H9" s="29">
        <v>500</v>
      </c>
      <c r="I9" s="31">
        <f t="shared" si="1"/>
        <v>62.5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100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94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11</v>
      </c>
      <c r="E13" s="12">
        <v>11</v>
      </c>
      <c r="F13" s="29">
        <v>12</v>
      </c>
      <c r="G13" s="30">
        <f t="shared" si="0"/>
        <v>0.91666666666666663</v>
      </c>
      <c r="H13" s="29">
        <v>400</v>
      </c>
      <c r="I13" s="31">
        <f t="shared" si="1"/>
        <v>0</v>
      </c>
      <c r="K13" s="112"/>
      <c r="L13" s="112"/>
    </row>
    <row r="14" spans="1:12" ht="25" hidden="1" customHeight="1" x14ac:dyDescent="0.3">
      <c r="A14" s="110"/>
      <c r="B14" s="20" t="s">
        <v>54</v>
      </c>
      <c r="C14" s="11"/>
      <c r="D14" s="12" t="s">
        <v>41</v>
      </c>
      <c r="E14" s="12" t="s">
        <v>41</v>
      </c>
      <c r="F14" s="29"/>
      <c r="G14" s="67"/>
      <c r="H14" s="29"/>
      <c r="I14" s="31">
        <v>20</v>
      </c>
      <c r="K14" s="94"/>
      <c r="L14" s="94"/>
    </row>
    <row r="15" spans="1:12" ht="25" customHeight="1" x14ac:dyDescent="0.3">
      <c r="A15" s="110"/>
      <c r="B15" s="20" t="s">
        <v>53</v>
      </c>
      <c r="C15" s="11">
        <v>0</v>
      </c>
      <c r="D15" s="12">
        <v>5</v>
      </c>
      <c r="E15" s="12">
        <v>4</v>
      </c>
      <c r="F15" s="29">
        <v>15</v>
      </c>
      <c r="G15" s="30">
        <f t="shared" si="0"/>
        <v>0.33333333333333331</v>
      </c>
      <c r="H15" s="29">
        <v>300</v>
      </c>
      <c r="I15" s="31">
        <f t="shared" si="1"/>
        <v>20</v>
      </c>
      <c r="K15" s="94"/>
      <c r="L15" s="94"/>
    </row>
    <row r="16" spans="1:12" ht="25" customHeight="1" x14ac:dyDescent="0.3">
      <c r="A16" s="110"/>
      <c r="B16" s="20" t="s">
        <v>39</v>
      </c>
      <c r="C16" s="11">
        <v>0</v>
      </c>
      <c r="D16" s="12" t="s">
        <v>41</v>
      </c>
      <c r="E16" s="12" t="s">
        <v>41</v>
      </c>
      <c r="F16" s="29"/>
      <c r="G16" s="67"/>
      <c r="H16" s="29"/>
      <c r="I16" s="31"/>
      <c r="K16" s="94"/>
      <c r="L16" s="94"/>
    </row>
    <row r="17" spans="1:12" ht="25" customHeight="1" x14ac:dyDescent="0.3">
      <c r="A17" s="110"/>
      <c r="B17" s="20" t="s">
        <v>46</v>
      </c>
      <c r="C17" s="11">
        <v>0</v>
      </c>
      <c r="D17" s="12">
        <v>180</v>
      </c>
      <c r="E17" s="12">
        <v>166</v>
      </c>
      <c r="F17" s="29">
        <v>495</v>
      </c>
      <c r="G17" s="30">
        <f t="shared" si="0"/>
        <v>0.36363636363636365</v>
      </c>
      <c r="H17" s="29">
        <v>1300</v>
      </c>
      <c r="I17" s="31">
        <f t="shared" si="1"/>
        <v>36.767676767676768</v>
      </c>
      <c r="K17" s="94"/>
      <c r="L17" s="94"/>
    </row>
    <row r="18" spans="1:12" ht="25" customHeight="1" x14ac:dyDescent="0.3">
      <c r="A18" s="110"/>
      <c r="B18" s="20" t="s">
        <v>43</v>
      </c>
      <c r="C18" s="11">
        <v>0</v>
      </c>
      <c r="D18" s="12">
        <v>7.6</v>
      </c>
      <c r="E18" s="12">
        <v>7</v>
      </c>
      <c r="F18" s="29">
        <v>38</v>
      </c>
      <c r="G18" s="30">
        <f t="shared" si="0"/>
        <v>0.19999999999999998</v>
      </c>
      <c r="H18" s="29">
        <v>2800</v>
      </c>
      <c r="I18" s="31">
        <f t="shared" si="1"/>
        <v>44.210526315789444</v>
      </c>
      <c r="K18" s="94"/>
      <c r="L18" s="94"/>
    </row>
    <row r="19" spans="1:12" ht="25" hidden="1" customHeight="1" x14ac:dyDescent="0.3">
      <c r="A19" s="111"/>
      <c r="B19" s="20" t="s">
        <v>18</v>
      </c>
      <c r="C19" s="11">
        <v>0</v>
      </c>
      <c r="D19" s="12">
        <v>31</v>
      </c>
      <c r="E19" s="12">
        <v>31</v>
      </c>
      <c r="F19" s="29">
        <v>31</v>
      </c>
      <c r="G19" s="30">
        <f t="shared" si="0"/>
        <v>1</v>
      </c>
      <c r="H19" s="29">
        <v>230</v>
      </c>
      <c r="I19" s="31">
        <f t="shared" si="1"/>
        <v>0</v>
      </c>
    </row>
    <row r="20" spans="1:12" s="39" customFormat="1" ht="5" customHeight="1" x14ac:dyDescent="0.3">
      <c r="A20" s="49"/>
      <c r="B20" s="56"/>
      <c r="C20" s="50"/>
      <c r="D20" s="51"/>
      <c r="E20" s="51"/>
      <c r="F20" s="52"/>
      <c r="G20" s="53"/>
      <c r="H20" s="52"/>
      <c r="I20" s="54"/>
    </row>
    <row r="21" spans="1:12" ht="25" hidden="1" customHeight="1" x14ac:dyDescent="0.3">
      <c r="A21" s="113" t="s">
        <v>19</v>
      </c>
      <c r="B21" s="21" t="s">
        <v>36</v>
      </c>
      <c r="C21" s="11">
        <v>0</v>
      </c>
      <c r="D21" s="12">
        <v>10</v>
      </c>
      <c r="E21" s="12">
        <v>10</v>
      </c>
      <c r="F21" s="29">
        <v>10</v>
      </c>
      <c r="G21" s="30">
        <f t="shared" si="0"/>
        <v>1</v>
      </c>
      <c r="H21" s="29">
        <v>550</v>
      </c>
      <c r="I21" s="31">
        <f t="shared" si="1"/>
        <v>0</v>
      </c>
    </row>
    <row r="22" spans="1:12" ht="25" customHeight="1" x14ac:dyDescent="0.3">
      <c r="A22" s="114"/>
      <c r="B22" s="21" t="s">
        <v>45</v>
      </c>
      <c r="C22" s="11"/>
      <c r="D22" s="12" t="s">
        <v>41</v>
      </c>
      <c r="E22" s="12" t="s">
        <v>41</v>
      </c>
      <c r="F22" s="29"/>
      <c r="G22" s="86"/>
      <c r="H22" s="29"/>
      <c r="I22" s="31">
        <v>150</v>
      </c>
    </row>
    <row r="23" spans="1:12" ht="25" customHeight="1" x14ac:dyDescent="0.3">
      <c r="A23" s="114"/>
      <c r="B23" s="21" t="s">
        <v>26</v>
      </c>
      <c r="C23" s="11">
        <v>91</v>
      </c>
      <c r="D23" s="12">
        <v>92</v>
      </c>
      <c r="E23" s="12">
        <v>92</v>
      </c>
      <c r="F23" s="29">
        <v>107</v>
      </c>
      <c r="G23" s="30">
        <f t="shared" si="0"/>
        <v>6.25E-2</v>
      </c>
      <c r="H23" s="29">
        <v>500</v>
      </c>
      <c r="I23" s="31">
        <f>((D23-E23)/(F23-E23))*H23</f>
        <v>0</v>
      </c>
    </row>
    <row r="24" spans="1:12" ht="25" customHeight="1" x14ac:dyDescent="0.3">
      <c r="A24" s="115"/>
      <c r="B24" s="21" t="s">
        <v>33</v>
      </c>
      <c r="C24" s="11">
        <v>0</v>
      </c>
      <c r="D24" s="12">
        <v>1</v>
      </c>
      <c r="E24" s="12">
        <v>1</v>
      </c>
      <c r="F24" s="29">
        <v>28</v>
      </c>
      <c r="G24" s="30">
        <f t="shared" si="0"/>
        <v>3.5714285714285712E-2</v>
      </c>
      <c r="H24" s="29">
        <v>2700</v>
      </c>
      <c r="I24" s="31">
        <f t="shared" si="1"/>
        <v>0</v>
      </c>
    </row>
    <row r="25" spans="1:12" s="39" customFormat="1" ht="5" customHeight="1" x14ac:dyDescent="0.3">
      <c r="A25" s="49"/>
      <c r="B25" s="57"/>
      <c r="C25" s="50"/>
      <c r="D25" s="51"/>
      <c r="E25" s="51"/>
      <c r="F25" s="52"/>
      <c r="G25" s="53"/>
      <c r="H25" s="52"/>
      <c r="I25" s="54"/>
    </row>
    <row r="26" spans="1:12" ht="25" customHeight="1" x14ac:dyDescent="0.3">
      <c r="A26" s="97" t="s">
        <v>22</v>
      </c>
      <c r="B26" s="22" t="s">
        <v>32</v>
      </c>
      <c r="C26" s="11">
        <v>0</v>
      </c>
      <c r="D26" s="12">
        <v>4.8</v>
      </c>
      <c r="E26" s="12">
        <v>4.8</v>
      </c>
      <c r="F26" s="29">
        <v>28</v>
      </c>
      <c r="G26" s="30">
        <f t="shared" si="0"/>
        <v>0.17142857142857143</v>
      </c>
      <c r="H26" s="29">
        <v>2500</v>
      </c>
      <c r="I26" s="31">
        <f t="shared" si="1"/>
        <v>0</v>
      </c>
    </row>
    <row r="27" spans="1:12" ht="25" hidden="1" customHeight="1" x14ac:dyDescent="0.3">
      <c r="A27" s="98"/>
      <c r="B27" s="22" t="s">
        <v>47</v>
      </c>
      <c r="C27" s="11">
        <v>0</v>
      </c>
      <c r="D27" s="12">
        <v>8</v>
      </c>
      <c r="E27" s="12">
        <v>8</v>
      </c>
      <c r="F27" s="29">
        <v>8</v>
      </c>
      <c r="G27" s="30">
        <f t="shared" si="0"/>
        <v>1</v>
      </c>
      <c r="H27" s="29">
        <v>450</v>
      </c>
      <c r="I27" s="31">
        <f t="shared" si="1"/>
        <v>0</v>
      </c>
    </row>
    <row r="28" spans="1:12" s="39" customFormat="1" ht="5" customHeight="1" x14ac:dyDescent="0.3">
      <c r="A28" s="49"/>
      <c r="B28" s="58"/>
      <c r="C28" s="50"/>
      <c r="D28" s="51"/>
      <c r="E28" s="51"/>
      <c r="F28" s="52"/>
      <c r="G28" s="53"/>
      <c r="H28" s="52"/>
      <c r="I28" s="54"/>
    </row>
    <row r="29" spans="1:12" ht="25" customHeight="1" x14ac:dyDescent="0.3">
      <c r="A29" s="99" t="s">
        <v>24</v>
      </c>
      <c r="B29" s="23" t="s">
        <v>34</v>
      </c>
      <c r="C29" s="11">
        <v>72</v>
      </c>
      <c r="D29" s="12">
        <v>73</v>
      </c>
      <c r="E29" s="12">
        <v>73</v>
      </c>
      <c r="F29" s="29">
        <v>108</v>
      </c>
      <c r="G29" s="30">
        <f t="shared" si="0"/>
        <v>2.7777777777777776E-2</v>
      </c>
      <c r="H29" s="29">
        <v>750</v>
      </c>
      <c r="I29" s="31">
        <f>((D29-E29)/(F29-E29))*H29</f>
        <v>0</v>
      </c>
      <c r="K29" s="68"/>
    </row>
    <row r="30" spans="1:12" ht="25" hidden="1" customHeight="1" x14ac:dyDescent="0.3">
      <c r="A30" s="100"/>
      <c r="B30" s="23" t="s">
        <v>48</v>
      </c>
      <c r="C30" s="11">
        <v>0</v>
      </c>
      <c r="D30" s="12">
        <v>8</v>
      </c>
      <c r="E30" s="12">
        <v>8</v>
      </c>
      <c r="F30" s="29">
        <v>8</v>
      </c>
      <c r="G30" s="30">
        <f t="shared" si="0"/>
        <v>1</v>
      </c>
      <c r="H30" s="29">
        <v>450</v>
      </c>
      <c r="I30" s="31">
        <f t="shared" si="1"/>
        <v>0</v>
      </c>
    </row>
    <row r="31" spans="1:12" ht="25" customHeight="1" x14ac:dyDescent="0.3">
      <c r="A31" s="101"/>
      <c r="B31" s="24" t="s">
        <v>40</v>
      </c>
      <c r="C31" s="13">
        <v>0</v>
      </c>
      <c r="D31" s="14">
        <v>2</v>
      </c>
      <c r="E31" s="14">
        <v>2</v>
      </c>
      <c r="F31" s="32">
        <v>28</v>
      </c>
      <c r="G31" s="33">
        <f t="shared" si="0"/>
        <v>7.1428571428571425E-2</v>
      </c>
      <c r="H31" s="32">
        <v>2300</v>
      </c>
      <c r="I31" s="34">
        <f t="shared" si="1"/>
        <v>0</v>
      </c>
    </row>
    <row r="32" spans="1:12" s="39" customFormat="1" ht="5" customHeight="1" x14ac:dyDescent="0.3">
      <c r="A32" s="42"/>
      <c r="B32" s="43"/>
      <c r="C32" s="44"/>
      <c r="D32" s="45"/>
      <c r="E32" s="45"/>
      <c r="F32" s="46"/>
      <c r="G32" s="47"/>
      <c r="H32" s="46"/>
      <c r="I32" s="48"/>
    </row>
  </sheetData>
  <mergeCells count="8">
    <mergeCell ref="A26:A27"/>
    <mergeCell ref="A29:A31"/>
    <mergeCell ref="K2:L4"/>
    <mergeCell ref="A3:A6"/>
    <mergeCell ref="A8:A11"/>
    <mergeCell ref="A13:A19"/>
    <mergeCell ref="K13:L13"/>
    <mergeCell ref="A21:A24"/>
  </mergeCells>
  <phoneticPr fontId="1" type="noConversion"/>
  <conditionalFormatting sqref="G3:G6 G8 G23:G32 G10:G21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{D3115D91-3F57-41C2-8862-206A0A0C6B04}</x14:id>
        </ext>
      </extLst>
    </cfRule>
  </conditionalFormatting>
  <conditionalFormatting sqref="G23:G25 G21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{B1370681-B3F2-4DD3-AD5E-270893CE22DC}</x14:id>
        </ext>
      </extLst>
    </cfRule>
  </conditionalFormatting>
  <conditionalFormatting sqref="G26:G28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{CFB366AC-DD0B-43F2-9CB9-FAB37BFB7160}</x14:id>
        </ext>
      </extLst>
    </cfRule>
  </conditionalFormatting>
  <conditionalFormatting sqref="G29:G32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{9D3C0922-7BB7-49D3-89FC-B29A118D64E7}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{853AB9D8-AD84-402C-860D-87A4D86D1AEA}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{5E751406-FDFF-49F8-AD63-A990D27B8686}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{17669CD4-FD35-4497-98B8-882A752EC4B3}</x14:id>
        </ext>
      </extLst>
    </cfRule>
  </conditionalFormatting>
  <conditionalFormatting sqref="G13:G19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{827097A5-8387-46FF-8AE4-3739B7906707}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{5165521B-FFB4-4084-8F42-02777EFCD1B0}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{B9DB29A8-0831-4BC8-805E-1A29B3DAD2F0}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{C5A1B0D4-9DED-45F2-84FE-2E95DCDD9312}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{361BEC21-3B67-4D83-85D6-C5D7B665B514}</x14:id>
        </ext>
      </extLst>
    </cfRule>
  </conditionalFormatting>
  <conditionalFormatting sqref="G22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{2A5FC116-54D6-48A8-BB93-640D9488EF79}</x14:id>
        </ext>
      </extLst>
    </cfRule>
  </conditionalFormatting>
  <conditionalFormatting sqref="G22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{CD74AF7A-0A26-4A56-8F57-908F7BCCAA7B}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{3E189CEE-4A2B-4B20-8A48-75350D286123}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{A815E6C8-F245-4C13-9080-1940F4843DD3}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115D91-3F57-41C2-8862-206A0A0C6B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G23:G32 G10:G21</xm:sqref>
        </x14:conditionalFormatting>
        <x14:conditionalFormatting xmlns:xm="http://schemas.microsoft.com/office/excel/2006/main">
          <x14:cfRule type="dataBar" id="{B1370681-B3F2-4DD3-AD5E-270893CE22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G23:G25 G21</xm:sqref>
        </x14:conditionalFormatting>
        <x14:conditionalFormatting xmlns:xm="http://schemas.microsoft.com/office/excel/2006/main">
          <x14:cfRule type="dataBar" id="{CFB366AC-DD0B-43F2-9CB9-FAB37BFB71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G26:G28</xm:sqref>
        </x14:conditionalFormatting>
        <x14:conditionalFormatting xmlns:xm="http://schemas.microsoft.com/office/excel/2006/main">
          <x14:cfRule type="dataBar" id="{9D3C0922-7BB7-49D3-89FC-B29A118D64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G29:G32</xm:sqref>
        </x14:conditionalFormatting>
        <x14:conditionalFormatting xmlns:xm="http://schemas.microsoft.com/office/excel/2006/main">
          <x14:cfRule type="dataBar" id="{853AB9D8-AD84-402C-860D-87A4D86D1A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5E751406-FDFF-49F8-AD63-A990D27B86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669CD4-FD35-4497-98B8-882A752EC4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827097A5-8387-46FF-8AE4-3739B79067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G13:G19</xm:sqref>
        </x14:conditionalFormatting>
        <x14:conditionalFormatting xmlns:xm="http://schemas.microsoft.com/office/excel/2006/main">
          <x14:cfRule type="dataBar" id="{5165521B-FFB4-4084-8F42-02777EFCD1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B9DB29A8-0831-4BC8-805E-1A29B3DAD2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5A1B0D4-9DED-45F2-84FE-2E95DCDD93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61BEC21-3B67-4D83-85D6-C5D7B665B5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2A5FC116-54D6-48A8-BB93-640D9488EF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CD74AF7A-0A26-4A56-8F57-908F7BCCAA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3E189CEE-4A2B-4B20-8A48-75350D286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815E6C8-F245-4C13-9080-1940F4843D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3386B-D030-4F87-BC5E-EF28DACD003A}">
  <sheetPr codeName="Sheet20">
    <pageSetUpPr fitToPage="1"/>
  </sheetPr>
  <dimension ref="A1:L32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ROUND(SUM(I3:I43),0)</f>
        <v>558</v>
      </c>
      <c r="L2" s="102"/>
    </row>
    <row r="3" spans="1:12" ht="25" hidden="1" customHeight="1" x14ac:dyDescent="0.3">
      <c r="A3" s="103" t="s">
        <v>7</v>
      </c>
      <c r="B3" s="18" t="s">
        <v>50</v>
      </c>
      <c r="C3" s="11">
        <v>0</v>
      </c>
      <c r="D3" s="12">
        <v>12</v>
      </c>
      <c r="E3" s="12">
        <v>12</v>
      </c>
      <c r="F3" s="29">
        <v>12</v>
      </c>
      <c r="G3" s="30">
        <f>(D3-C3)/(F3-C3)</f>
        <v>1</v>
      </c>
      <c r="H3" s="29">
        <v>700</v>
      </c>
      <c r="I3" s="31">
        <f>((D3-E3)/F3)*H3</f>
        <v>0</v>
      </c>
      <c r="K3" s="102"/>
      <c r="L3" s="102"/>
    </row>
    <row r="4" spans="1:12" ht="25" customHeight="1" x14ac:dyDescent="0.3">
      <c r="A4" s="104"/>
      <c r="B4" s="18" t="s">
        <v>31</v>
      </c>
      <c r="C4" s="11">
        <v>0</v>
      </c>
      <c r="D4" s="60">
        <v>8.5</v>
      </c>
      <c r="E4" s="60">
        <v>8.5</v>
      </c>
      <c r="F4" s="59">
        <v>65</v>
      </c>
      <c r="G4" s="30">
        <f t="shared" ref="G4:G31" si="0">(D4-C4)/(F4-C4)</f>
        <v>0.13076923076923078</v>
      </c>
      <c r="H4" s="29">
        <v>1800</v>
      </c>
      <c r="I4" s="31">
        <v>0</v>
      </c>
      <c r="K4" s="102"/>
      <c r="L4" s="102"/>
    </row>
    <row r="5" spans="1:12" ht="25" customHeight="1" x14ac:dyDescent="0.3">
      <c r="A5" s="104"/>
      <c r="B5" s="18" t="s">
        <v>14</v>
      </c>
      <c r="C5" s="11">
        <v>0</v>
      </c>
      <c r="D5" s="12">
        <v>3.7</v>
      </c>
      <c r="E5" s="12">
        <v>3.2</v>
      </c>
      <c r="F5" s="29">
        <v>38</v>
      </c>
      <c r="G5" s="30">
        <f t="shared" si="0"/>
        <v>9.736842105263159E-2</v>
      </c>
      <c r="H5" s="29">
        <v>5500</v>
      </c>
      <c r="I5" s="31">
        <f t="shared" ref="I5:I31" si="1">((D5-E5)/F5)*H5</f>
        <v>72.368421052631575</v>
      </c>
      <c r="J5" s="1" t="s">
        <v>29</v>
      </c>
      <c r="K5" s="6">
        <v>44765</v>
      </c>
      <c r="L5" s="7">
        <v>0.35069444444444442</v>
      </c>
    </row>
    <row r="6" spans="1:12" ht="25" hidden="1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4</v>
      </c>
      <c r="E9" s="12">
        <v>2</v>
      </c>
      <c r="F9" s="29">
        <v>8</v>
      </c>
      <c r="G9" s="30">
        <f t="shared" si="0"/>
        <v>0.5</v>
      </c>
      <c r="H9" s="29">
        <v>500</v>
      </c>
      <c r="I9" s="31">
        <f t="shared" si="1"/>
        <v>125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90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92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11</v>
      </c>
      <c r="E13" s="12">
        <v>11</v>
      </c>
      <c r="F13" s="29">
        <v>12</v>
      </c>
      <c r="G13" s="30">
        <f t="shared" si="0"/>
        <v>0.91666666666666663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54</v>
      </c>
      <c r="C14" s="11"/>
      <c r="D14" s="12" t="s">
        <v>41</v>
      </c>
      <c r="E14" s="12" t="s">
        <v>41</v>
      </c>
      <c r="F14" s="29"/>
      <c r="G14" s="67"/>
      <c r="H14" s="29"/>
      <c r="I14" s="31">
        <v>20</v>
      </c>
      <c r="K14" s="93"/>
      <c r="L14" s="93"/>
    </row>
    <row r="15" spans="1:12" ht="25" customHeight="1" x14ac:dyDescent="0.3">
      <c r="A15" s="110"/>
      <c r="B15" s="20" t="s">
        <v>53</v>
      </c>
      <c r="C15" s="11">
        <v>0</v>
      </c>
      <c r="D15" s="12">
        <v>4</v>
      </c>
      <c r="E15" s="12">
        <v>4</v>
      </c>
      <c r="F15" s="29">
        <v>15</v>
      </c>
      <c r="G15" s="30">
        <f t="shared" si="0"/>
        <v>0.26666666666666666</v>
      </c>
      <c r="H15" s="29">
        <v>300</v>
      </c>
      <c r="I15" s="31">
        <f t="shared" si="1"/>
        <v>0</v>
      </c>
      <c r="K15" s="92"/>
      <c r="L15" s="92"/>
    </row>
    <row r="16" spans="1:12" ht="25" customHeight="1" x14ac:dyDescent="0.3">
      <c r="A16" s="110"/>
      <c r="B16" s="20" t="s">
        <v>39</v>
      </c>
      <c r="C16" s="11">
        <v>0</v>
      </c>
      <c r="D16" s="12" t="s">
        <v>41</v>
      </c>
      <c r="E16" s="12" t="s">
        <v>41</v>
      </c>
      <c r="F16" s="29"/>
      <c r="G16" s="67"/>
      <c r="H16" s="29"/>
      <c r="I16" s="31"/>
      <c r="K16" s="92"/>
      <c r="L16" s="92"/>
    </row>
    <row r="17" spans="1:12" ht="25" customHeight="1" x14ac:dyDescent="0.3">
      <c r="A17" s="110"/>
      <c r="B17" s="20" t="s">
        <v>46</v>
      </c>
      <c r="C17" s="11">
        <v>0</v>
      </c>
      <c r="D17" s="12">
        <v>166</v>
      </c>
      <c r="E17" s="12">
        <v>166</v>
      </c>
      <c r="F17" s="29">
        <v>495</v>
      </c>
      <c r="G17" s="30">
        <f t="shared" si="0"/>
        <v>0.33535353535353535</v>
      </c>
      <c r="H17" s="29">
        <v>1300</v>
      </c>
      <c r="I17" s="31">
        <v>0</v>
      </c>
      <c r="K17" s="92"/>
      <c r="L17" s="92"/>
    </row>
    <row r="18" spans="1:12" ht="25" customHeight="1" x14ac:dyDescent="0.3">
      <c r="A18" s="110"/>
      <c r="B18" s="20" t="s">
        <v>43</v>
      </c>
      <c r="C18" s="11">
        <v>0</v>
      </c>
      <c r="D18" s="12">
        <v>7</v>
      </c>
      <c r="E18" s="12">
        <v>6</v>
      </c>
      <c r="F18" s="29">
        <v>38</v>
      </c>
      <c r="G18" s="30">
        <f t="shared" si="0"/>
        <v>0.18421052631578946</v>
      </c>
      <c r="H18" s="29">
        <v>2800</v>
      </c>
      <c r="I18" s="31">
        <f t="shared" si="1"/>
        <v>73.68421052631578</v>
      </c>
      <c r="K18" s="92"/>
      <c r="L18" s="92"/>
    </row>
    <row r="19" spans="1:12" ht="25" hidden="1" customHeight="1" x14ac:dyDescent="0.3">
      <c r="A19" s="111"/>
      <c r="B19" s="56" t="s">
        <v>18</v>
      </c>
      <c r="C19" s="11">
        <v>0</v>
      </c>
      <c r="D19" s="12">
        <v>31</v>
      </c>
      <c r="E19" s="12">
        <v>31</v>
      </c>
      <c r="F19" s="29">
        <v>31</v>
      </c>
      <c r="G19" s="30">
        <f t="shared" si="0"/>
        <v>1</v>
      </c>
      <c r="H19" s="29">
        <v>230</v>
      </c>
      <c r="I19" s="31">
        <f t="shared" si="1"/>
        <v>0</v>
      </c>
    </row>
    <row r="20" spans="1:12" s="39" customFormat="1" ht="5" customHeight="1" x14ac:dyDescent="0.3">
      <c r="A20" s="49"/>
      <c r="B20" s="21"/>
      <c r="C20" s="50"/>
      <c r="D20" s="51"/>
      <c r="E20" s="51"/>
      <c r="F20" s="52"/>
      <c r="G20" s="53"/>
      <c r="H20" s="52"/>
      <c r="I20" s="54"/>
    </row>
    <row r="21" spans="1:12" ht="25" hidden="1" customHeight="1" x14ac:dyDescent="0.3">
      <c r="A21" s="113" t="s">
        <v>19</v>
      </c>
      <c r="B21" s="21" t="s">
        <v>36</v>
      </c>
      <c r="C21" s="11">
        <v>0</v>
      </c>
      <c r="D21" s="12">
        <v>10</v>
      </c>
      <c r="E21" s="12">
        <v>10</v>
      </c>
      <c r="F21" s="29">
        <v>10</v>
      </c>
      <c r="G21" s="30">
        <f t="shared" si="0"/>
        <v>1</v>
      </c>
      <c r="H21" s="29">
        <v>550</v>
      </c>
      <c r="I21" s="31">
        <f t="shared" si="1"/>
        <v>0</v>
      </c>
    </row>
    <row r="22" spans="1:12" ht="25" customHeight="1" x14ac:dyDescent="0.3">
      <c r="A22" s="114"/>
      <c r="B22" s="21" t="s">
        <v>45</v>
      </c>
      <c r="C22" s="11"/>
      <c r="D22" s="12" t="s">
        <v>41</v>
      </c>
      <c r="E22" s="12" t="s">
        <v>41</v>
      </c>
      <c r="F22" s="29"/>
      <c r="G22" s="86"/>
      <c r="H22" s="29"/>
      <c r="I22" s="31">
        <v>150</v>
      </c>
    </row>
    <row r="23" spans="1:12" ht="25" customHeight="1" x14ac:dyDescent="0.3">
      <c r="A23" s="114"/>
      <c r="B23" s="21" t="s">
        <v>26</v>
      </c>
      <c r="C23" s="11">
        <v>91</v>
      </c>
      <c r="D23" s="12">
        <v>92</v>
      </c>
      <c r="E23" s="12">
        <v>92</v>
      </c>
      <c r="F23" s="29">
        <v>107</v>
      </c>
      <c r="G23" s="30">
        <f t="shared" si="0"/>
        <v>6.25E-2</v>
      </c>
      <c r="H23" s="29">
        <v>500</v>
      </c>
      <c r="I23" s="31">
        <f>((D23-E23)/(F23-E23))*H23</f>
        <v>0</v>
      </c>
    </row>
    <row r="24" spans="1:12" ht="25" customHeight="1" x14ac:dyDescent="0.3">
      <c r="A24" s="115"/>
      <c r="B24" s="57" t="s">
        <v>33</v>
      </c>
      <c r="C24" s="11">
        <v>0</v>
      </c>
      <c r="D24" s="12">
        <v>1</v>
      </c>
      <c r="E24" s="12">
        <v>1</v>
      </c>
      <c r="F24" s="29">
        <v>28</v>
      </c>
      <c r="G24" s="30">
        <f t="shared" si="0"/>
        <v>3.5714285714285712E-2</v>
      </c>
      <c r="H24" s="29">
        <v>2700</v>
      </c>
      <c r="I24" s="31">
        <f t="shared" si="1"/>
        <v>0</v>
      </c>
    </row>
    <row r="25" spans="1:12" s="39" customFormat="1" ht="5" customHeight="1" x14ac:dyDescent="0.3">
      <c r="A25" s="49"/>
      <c r="B25" s="22"/>
      <c r="C25" s="50"/>
      <c r="D25" s="51"/>
      <c r="E25" s="51"/>
      <c r="F25" s="52"/>
      <c r="G25" s="53"/>
      <c r="H25" s="52"/>
      <c r="I25" s="54"/>
    </row>
    <row r="26" spans="1:12" ht="25" customHeight="1" x14ac:dyDescent="0.3">
      <c r="A26" s="97" t="s">
        <v>22</v>
      </c>
      <c r="B26" s="22" t="s">
        <v>32</v>
      </c>
      <c r="C26" s="11">
        <v>0</v>
      </c>
      <c r="D26" s="12">
        <v>4.8</v>
      </c>
      <c r="E26" s="12">
        <v>4.5</v>
      </c>
      <c r="F26" s="29">
        <v>28</v>
      </c>
      <c r="G26" s="30">
        <f t="shared" si="0"/>
        <v>0.17142857142857143</v>
      </c>
      <c r="H26" s="29">
        <v>2500</v>
      </c>
      <c r="I26" s="31">
        <f t="shared" si="1"/>
        <v>26.785714285714267</v>
      </c>
    </row>
    <row r="27" spans="1:12" ht="25" hidden="1" customHeight="1" x14ac:dyDescent="0.3">
      <c r="A27" s="98"/>
      <c r="B27" s="58" t="s">
        <v>47</v>
      </c>
      <c r="C27" s="11">
        <v>0</v>
      </c>
      <c r="D27" s="12">
        <v>8</v>
      </c>
      <c r="E27" s="12">
        <v>8</v>
      </c>
      <c r="F27" s="29">
        <v>8</v>
      </c>
      <c r="G27" s="30">
        <f t="shared" si="0"/>
        <v>1</v>
      </c>
      <c r="H27" s="29">
        <v>450</v>
      </c>
      <c r="I27" s="31">
        <f t="shared" si="1"/>
        <v>0</v>
      </c>
    </row>
    <row r="28" spans="1:12" s="39" customFormat="1" ht="5" customHeight="1" x14ac:dyDescent="0.3">
      <c r="A28" s="49"/>
      <c r="B28" s="23"/>
      <c r="C28" s="50"/>
      <c r="D28" s="51"/>
      <c r="E28" s="51"/>
      <c r="F28" s="52"/>
      <c r="G28" s="53"/>
      <c r="H28" s="52"/>
      <c r="I28" s="54"/>
    </row>
    <row r="29" spans="1:12" ht="25" customHeight="1" x14ac:dyDescent="0.3">
      <c r="A29" s="99" t="s">
        <v>24</v>
      </c>
      <c r="B29" s="23" t="s">
        <v>34</v>
      </c>
      <c r="C29" s="11">
        <v>72</v>
      </c>
      <c r="D29" s="12">
        <v>73</v>
      </c>
      <c r="E29" s="12">
        <v>73</v>
      </c>
      <c r="F29" s="29">
        <v>108</v>
      </c>
      <c r="G29" s="30">
        <f t="shared" si="0"/>
        <v>2.7777777777777776E-2</v>
      </c>
      <c r="H29" s="29">
        <v>750</v>
      </c>
      <c r="I29" s="31">
        <f>((D29-E29)/(F29-E29))*H29</f>
        <v>0</v>
      </c>
      <c r="K29" s="68"/>
    </row>
    <row r="30" spans="1:12" ht="25" hidden="1" customHeight="1" x14ac:dyDescent="0.3">
      <c r="A30" s="100"/>
      <c r="B30" s="24" t="s">
        <v>48</v>
      </c>
      <c r="C30" s="11">
        <v>0</v>
      </c>
      <c r="D30" s="12">
        <v>8</v>
      </c>
      <c r="E30" s="12">
        <v>8</v>
      </c>
      <c r="F30" s="29">
        <v>8</v>
      </c>
      <c r="G30" s="30">
        <f t="shared" si="0"/>
        <v>1</v>
      </c>
      <c r="H30" s="29">
        <v>450</v>
      </c>
      <c r="I30" s="31">
        <f t="shared" si="1"/>
        <v>0</v>
      </c>
    </row>
    <row r="31" spans="1:12" ht="25" customHeight="1" x14ac:dyDescent="0.3">
      <c r="A31" s="101"/>
      <c r="B31" s="43" t="s">
        <v>40</v>
      </c>
      <c r="C31" s="13">
        <v>0</v>
      </c>
      <c r="D31" s="14">
        <v>2</v>
      </c>
      <c r="E31" s="14">
        <v>2</v>
      </c>
      <c r="F31" s="32">
        <v>28</v>
      </c>
      <c r="G31" s="33">
        <f t="shared" si="0"/>
        <v>7.1428571428571425E-2</v>
      </c>
      <c r="H31" s="32">
        <v>2300</v>
      </c>
      <c r="I31" s="34">
        <f t="shared" si="1"/>
        <v>0</v>
      </c>
    </row>
    <row r="32" spans="1:12" s="39" customFormat="1" ht="5" customHeight="1" x14ac:dyDescent="0.3">
      <c r="A32" s="42"/>
      <c r="B32"/>
      <c r="C32" s="44"/>
      <c r="D32" s="45"/>
      <c r="E32" s="45"/>
      <c r="F32" s="46"/>
      <c r="G32" s="47"/>
      <c r="H32" s="46"/>
      <c r="I32" s="48"/>
    </row>
  </sheetData>
  <mergeCells count="8">
    <mergeCell ref="K13:L13"/>
    <mergeCell ref="A21:A24"/>
    <mergeCell ref="K2:L4"/>
    <mergeCell ref="A26:A27"/>
    <mergeCell ref="A29:A31"/>
    <mergeCell ref="A3:A6"/>
    <mergeCell ref="A8:A11"/>
    <mergeCell ref="A13:A19"/>
  </mergeCells>
  <phoneticPr fontId="1" type="noConversion"/>
  <conditionalFormatting sqref="G3:G6 G8 G23:G32 G10:G21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{FA14D995-A45E-4FAC-A5DA-0AD877BE5F8B}</x14:id>
        </ext>
      </extLst>
    </cfRule>
  </conditionalFormatting>
  <conditionalFormatting sqref="G23:G25 G21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{D91C4ABF-8642-4C3E-B986-C31BFD2BD5DC}</x14:id>
        </ext>
      </extLst>
    </cfRule>
  </conditionalFormatting>
  <conditionalFormatting sqref="G26:G28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{60861FAF-F48F-4D3A-87D6-3B170211D305}</x14:id>
        </ext>
      </extLst>
    </cfRule>
  </conditionalFormatting>
  <conditionalFormatting sqref="G29:G32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{665B457F-0087-4467-B958-EFECF4522084}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{2314E861-340F-478F-B761-AAD9DA9AF458}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{F029904A-83AC-4A33-B079-32559A60B0E5}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{FE067076-C48E-40DD-8A11-EC7512B0DF91}</x14:id>
        </ext>
      </extLst>
    </cfRule>
  </conditionalFormatting>
  <conditionalFormatting sqref="G13:G19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{FE6F03F7-C082-4491-87CB-57AA585FA5FA}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{810C9561-B38C-4595-A2D4-D13940E1DD85}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{B7BE7338-5FFE-4C5B-B097-910CDCC7508C}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{BDE35E63-E1C3-4476-9FD9-75EBBCEDCF09}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{FF6A0FA2-5EF1-487F-B63C-62FEDCF228A5}</x14:id>
        </ext>
      </extLst>
    </cfRule>
  </conditionalFormatting>
  <conditionalFormatting sqref="G22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{3645152E-1781-41E4-87D9-F02318717778}</x14:id>
        </ext>
      </extLst>
    </cfRule>
  </conditionalFormatting>
  <conditionalFormatting sqref="G22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{5894AC8D-416E-486D-9ECD-D099328870CD}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{67DF0107-ABE1-4494-BE81-B87B7B60BC38}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{BE5484B0-A051-4582-8283-0AEC39DC86DB}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14D995-A45E-4FAC-A5DA-0AD877BE5F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G23:G32 G10:G21</xm:sqref>
        </x14:conditionalFormatting>
        <x14:conditionalFormatting xmlns:xm="http://schemas.microsoft.com/office/excel/2006/main">
          <x14:cfRule type="dataBar" id="{D91C4ABF-8642-4C3E-B986-C31BFD2BD5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G23:G25 G21</xm:sqref>
        </x14:conditionalFormatting>
        <x14:conditionalFormatting xmlns:xm="http://schemas.microsoft.com/office/excel/2006/main">
          <x14:cfRule type="dataBar" id="{60861FAF-F48F-4D3A-87D6-3B170211D3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G26:G28</xm:sqref>
        </x14:conditionalFormatting>
        <x14:conditionalFormatting xmlns:xm="http://schemas.microsoft.com/office/excel/2006/main">
          <x14:cfRule type="dataBar" id="{665B457F-0087-4467-B958-EFECF45220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G29:G32</xm:sqref>
        </x14:conditionalFormatting>
        <x14:conditionalFormatting xmlns:xm="http://schemas.microsoft.com/office/excel/2006/main">
          <x14:cfRule type="dataBar" id="{2314E861-340F-478F-B761-AAD9DA9AF4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F029904A-83AC-4A33-B079-32559A60B0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E067076-C48E-40DD-8A11-EC7512B0DF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FE6F03F7-C082-4491-87CB-57AA585FA5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G13:G19</xm:sqref>
        </x14:conditionalFormatting>
        <x14:conditionalFormatting xmlns:xm="http://schemas.microsoft.com/office/excel/2006/main">
          <x14:cfRule type="dataBar" id="{810C9561-B38C-4595-A2D4-D13940E1DD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B7BE7338-5FFE-4C5B-B097-910CDCC750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BDE35E63-E1C3-4476-9FD9-75EBBCEDCF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F6A0FA2-5EF1-487F-B63C-62FEDCF228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3645152E-1781-41E4-87D9-F023187177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5894AC8D-416E-486D-9ECD-D099328870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67DF0107-ABE1-4494-BE81-B87B7B60BC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E5484B0-A051-4582-8283-0AEC39DC86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DCAB5-A6D8-45FD-AAA3-2E3586F41CD7}">
  <sheetPr codeName="Sheet19">
    <pageSetUpPr fitToPage="1"/>
  </sheetPr>
  <dimension ref="A1:L31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ROUND(SUM(I3:I42),0)</f>
        <v>458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12</v>
      </c>
      <c r="E3" s="12">
        <v>12</v>
      </c>
      <c r="F3" s="29">
        <v>12</v>
      </c>
      <c r="G3" s="30">
        <f>(D3-C3)/(F3-C3)</f>
        <v>1</v>
      </c>
      <c r="H3" s="29">
        <v>700</v>
      </c>
      <c r="I3" s="31">
        <f>((D3-E3)/F3)*H3</f>
        <v>0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8.5</v>
      </c>
      <c r="E4" s="60">
        <v>8.5</v>
      </c>
      <c r="F4" s="59">
        <v>65</v>
      </c>
      <c r="G4" s="30">
        <f t="shared" ref="G4:G30" si="0">(D4-C4)/(F4-C4)</f>
        <v>0.13076923076923078</v>
      </c>
      <c r="H4" s="29">
        <v>1800</v>
      </c>
      <c r="I4" s="31">
        <v>0</v>
      </c>
    </row>
    <row r="5" spans="1:12" ht="25" customHeight="1" x14ac:dyDescent="0.3">
      <c r="A5" s="104"/>
      <c r="B5" s="18" t="s">
        <v>14</v>
      </c>
      <c r="C5" s="11">
        <v>0</v>
      </c>
      <c r="D5" s="12">
        <v>3.2</v>
      </c>
      <c r="E5" s="12">
        <v>3.2</v>
      </c>
      <c r="F5" s="29">
        <v>38</v>
      </c>
      <c r="G5" s="30">
        <f t="shared" si="0"/>
        <v>8.4210526315789472E-2</v>
      </c>
      <c r="H5" s="29">
        <v>5500</v>
      </c>
      <c r="I5" s="31">
        <f t="shared" ref="I5:I30" si="1">((D5-E5)/F5)*H5</f>
        <v>0</v>
      </c>
      <c r="J5" s="1" t="s">
        <v>29</v>
      </c>
      <c r="K5" s="6">
        <v>44763</v>
      </c>
      <c r="L5" s="7">
        <v>0.90277777777777779</v>
      </c>
    </row>
    <row r="6" spans="1:12" ht="25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170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91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12</v>
      </c>
      <c r="E13" s="12">
        <v>11</v>
      </c>
      <c r="F13" s="29">
        <v>12</v>
      </c>
      <c r="G13" s="30">
        <f t="shared" si="0"/>
        <v>1</v>
      </c>
      <c r="H13" s="29">
        <v>400</v>
      </c>
      <c r="I13" s="31">
        <f t="shared" si="1"/>
        <v>33.333333333333329</v>
      </c>
      <c r="K13" s="112"/>
      <c r="L13" s="112"/>
    </row>
    <row r="14" spans="1:12" ht="25" customHeight="1" x14ac:dyDescent="0.3">
      <c r="A14" s="110"/>
      <c r="B14" s="20" t="s">
        <v>53</v>
      </c>
      <c r="C14" s="11">
        <v>0</v>
      </c>
      <c r="D14" s="12">
        <v>4</v>
      </c>
      <c r="E14" s="12">
        <v>3</v>
      </c>
      <c r="F14" s="29">
        <v>15</v>
      </c>
      <c r="G14" s="30">
        <f t="shared" si="0"/>
        <v>0.26666666666666666</v>
      </c>
      <c r="H14" s="29">
        <v>300</v>
      </c>
      <c r="I14" s="31">
        <f t="shared" si="1"/>
        <v>20</v>
      </c>
      <c r="K14" s="91"/>
      <c r="L14" s="91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91"/>
      <c r="L15" s="91"/>
    </row>
    <row r="16" spans="1:12" ht="25" customHeight="1" x14ac:dyDescent="0.3">
      <c r="A16" s="110"/>
      <c r="B16" s="20" t="s">
        <v>46</v>
      </c>
      <c r="C16" s="11">
        <v>0</v>
      </c>
      <c r="D16" s="12">
        <v>166</v>
      </c>
      <c r="E16" s="12">
        <v>166</v>
      </c>
      <c r="F16" s="29">
        <v>495</v>
      </c>
      <c r="G16" s="30">
        <f t="shared" si="0"/>
        <v>0.33535353535353535</v>
      </c>
      <c r="H16" s="29">
        <v>1300</v>
      </c>
      <c r="I16" s="31">
        <f>((D16-E16)/F16)*H16+40</f>
        <v>40</v>
      </c>
      <c r="K16" s="91"/>
      <c r="L16" s="91"/>
    </row>
    <row r="17" spans="1:12" ht="25" customHeight="1" x14ac:dyDescent="0.3">
      <c r="A17" s="110"/>
      <c r="B17" s="20" t="s">
        <v>43</v>
      </c>
      <c r="C17" s="11">
        <v>0</v>
      </c>
      <c r="D17" s="12">
        <v>6</v>
      </c>
      <c r="E17" s="12">
        <v>5.4</v>
      </c>
      <c r="F17" s="29">
        <v>38</v>
      </c>
      <c r="G17" s="30">
        <f t="shared" si="0"/>
        <v>0.15789473684210525</v>
      </c>
      <c r="H17" s="29">
        <v>2800</v>
      </c>
      <c r="I17" s="31">
        <f t="shared" si="1"/>
        <v>44.210526315789444</v>
      </c>
      <c r="K17" s="91"/>
      <c r="L17" s="91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45</v>
      </c>
      <c r="C21" s="11"/>
      <c r="D21" s="12" t="s">
        <v>41</v>
      </c>
      <c r="E21" s="12" t="s">
        <v>41</v>
      </c>
      <c r="F21" s="29"/>
      <c r="G21" s="86"/>
      <c r="H21" s="29"/>
      <c r="I21" s="31">
        <v>150</v>
      </c>
    </row>
    <row r="22" spans="1:12" ht="25" customHeight="1" x14ac:dyDescent="0.3">
      <c r="A22" s="114"/>
      <c r="B22" s="21" t="s">
        <v>26</v>
      </c>
      <c r="C22" s="11">
        <v>91</v>
      </c>
      <c r="D22" s="12">
        <v>92</v>
      </c>
      <c r="E22" s="12">
        <v>92</v>
      </c>
      <c r="F22" s="29">
        <v>107</v>
      </c>
      <c r="G22" s="30">
        <f t="shared" si="0"/>
        <v>6.25E-2</v>
      </c>
      <c r="H22" s="29">
        <v>500</v>
      </c>
      <c r="I22" s="31">
        <f>((D22-E22)/(F22-E22))*H22</f>
        <v>0</v>
      </c>
    </row>
    <row r="23" spans="1:12" ht="25" customHeight="1" x14ac:dyDescent="0.3">
      <c r="A23" s="115"/>
      <c r="B23" s="21" t="s">
        <v>33</v>
      </c>
      <c r="C23" s="11">
        <v>0</v>
      </c>
      <c r="D23" s="12">
        <v>1</v>
      </c>
      <c r="E23" s="12">
        <v>1</v>
      </c>
      <c r="F23" s="29">
        <v>28</v>
      </c>
      <c r="G23" s="30">
        <f t="shared" si="0"/>
        <v>3.5714285714285712E-2</v>
      </c>
      <c r="H23" s="29">
        <v>2700</v>
      </c>
      <c r="I23" s="31">
        <f t="shared" si="1"/>
        <v>0</v>
      </c>
    </row>
    <row r="24" spans="1:12" s="39" customFormat="1" ht="5" customHeight="1" x14ac:dyDescent="0.3">
      <c r="A24" s="49"/>
      <c r="B24" s="57"/>
      <c r="C24" s="50"/>
      <c r="D24" s="51"/>
      <c r="E24" s="51"/>
      <c r="F24" s="52"/>
      <c r="G24" s="53"/>
      <c r="H24" s="52"/>
      <c r="I24" s="54"/>
    </row>
    <row r="25" spans="1:12" ht="25" customHeight="1" x14ac:dyDescent="0.3">
      <c r="A25" s="97" t="s">
        <v>22</v>
      </c>
      <c r="B25" s="22" t="s">
        <v>32</v>
      </c>
      <c r="C25" s="11">
        <v>0</v>
      </c>
      <c r="D25" s="12">
        <v>4.5</v>
      </c>
      <c r="E25" s="12">
        <v>4.5</v>
      </c>
      <c r="F25" s="29">
        <v>28</v>
      </c>
      <c r="G25" s="30">
        <f t="shared" si="0"/>
        <v>0.16071428571428573</v>
      </c>
      <c r="H25" s="29">
        <v>2500</v>
      </c>
      <c r="I25" s="31">
        <f t="shared" si="1"/>
        <v>0</v>
      </c>
    </row>
    <row r="26" spans="1:12" ht="25" hidden="1" customHeight="1" x14ac:dyDescent="0.3">
      <c r="A26" s="98"/>
      <c r="B26" s="22" t="s">
        <v>47</v>
      </c>
      <c r="C26" s="11">
        <v>0</v>
      </c>
      <c r="D26" s="12">
        <v>8</v>
      </c>
      <c r="E26" s="12">
        <v>8</v>
      </c>
      <c r="F26" s="29">
        <v>8</v>
      </c>
      <c r="G26" s="30">
        <f t="shared" si="0"/>
        <v>1</v>
      </c>
      <c r="H26" s="29">
        <v>450</v>
      </c>
      <c r="I26" s="31">
        <f t="shared" si="1"/>
        <v>0</v>
      </c>
    </row>
    <row r="27" spans="1:12" s="39" customFormat="1" ht="5" customHeight="1" x14ac:dyDescent="0.3">
      <c r="A27" s="49"/>
      <c r="B27" s="58"/>
      <c r="C27" s="50"/>
      <c r="D27" s="51"/>
      <c r="E27" s="51"/>
      <c r="F27" s="52"/>
      <c r="G27" s="53"/>
      <c r="H27" s="52"/>
      <c r="I27" s="54"/>
    </row>
    <row r="28" spans="1:12" ht="25" customHeight="1" x14ac:dyDescent="0.3">
      <c r="A28" s="99" t="s">
        <v>24</v>
      </c>
      <c r="B28" s="23" t="s">
        <v>34</v>
      </c>
      <c r="C28" s="11">
        <v>72</v>
      </c>
      <c r="D28" s="12">
        <v>73</v>
      </c>
      <c r="E28" s="12">
        <v>73</v>
      </c>
      <c r="F28" s="29">
        <v>108</v>
      </c>
      <c r="G28" s="30">
        <f t="shared" si="0"/>
        <v>2.7777777777777776E-2</v>
      </c>
      <c r="H28" s="29">
        <v>750</v>
      </c>
      <c r="I28" s="31">
        <f>((D28-E28)/(F28-E28))*H28</f>
        <v>0</v>
      </c>
      <c r="K28" s="68"/>
    </row>
    <row r="29" spans="1:12" ht="25" hidden="1" customHeight="1" x14ac:dyDescent="0.3">
      <c r="A29" s="100"/>
      <c r="B29" s="23" t="s">
        <v>48</v>
      </c>
      <c r="C29" s="11">
        <v>0</v>
      </c>
      <c r="D29" s="12">
        <v>8</v>
      </c>
      <c r="E29" s="12">
        <v>8</v>
      </c>
      <c r="F29" s="29">
        <v>8</v>
      </c>
      <c r="G29" s="30">
        <f t="shared" si="0"/>
        <v>1</v>
      </c>
      <c r="H29" s="29">
        <v>450</v>
      </c>
      <c r="I29" s="31">
        <f t="shared" si="1"/>
        <v>0</v>
      </c>
    </row>
    <row r="30" spans="1:12" ht="25" customHeight="1" x14ac:dyDescent="0.3">
      <c r="A30" s="101"/>
      <c r="B30" s="24" t="s">
        <v>40</v>
      </c>
      <c r="C30" s="13">
        <v>0</v>
      </c>
      <c r="D30" s="14">
        <v>2</v>
      </c>
      <c r="E30" s="14">
        <v>2</v>
      </c>
      <c r="F30" s="32">
        <v>28</v>
      </c>
      <c r="G30" s="33">
        <f t="shared" si="0"/>
        <v>7.1428571428571425E-2</v>
      </c>
      <c r="H30" s="32">
        <v>2300</v>
      </c>
      <c r="I30" s="34">
        <f t="shared" si="1"/>
        <v>0</v>
      </c>
    </row>
    <row r="31" spans="1:12" s="39" customFormat="1" ht="5" customHeight="1" x14ac:dyDescent="0.3">
      <c r="A31" s="42"/>
      <c r="B31" s="43"/>
      <c r="C31" s="44"/>
      <c r="D31" s="45"/>
      <c r="E31" s="45"/>
      <c r="F31" s="46"/>
      <c r="G31" s="47"/>
      <c r="H31" s="46"/>
      <c r="I31" s="48"/>
    </row>
  </sheetData>
  <mergeCells count="8">
    <mergeCell ref="A25:A26"/>
    <mergeCell ref="A28:A30"/>
    <mergeCell ref="K2:L3"/>
    <mergeCell ref="A3:A6"/>
    <mergeCell ref="A8:A11"/>
    <mergeCell ref="A13:A18"/>
    <mergeCell ref="K13:L13"/>
    <mergeCell ref="A20:A23"/>
  </mergeCells>
  <phoneticPr fontId="1" type="noConversion"/>
  <conditionalFormatting sqref="G3:G6 G8 G22:G31 G10:G20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{16D95F0A-B0F0-49FA-B90B-389E3336189E}</x14:id>
        </ext>
      </extLst>
    </cfRule>
  </conditionalFormatting>
  <conditionalFormatting sqref="G22:G24 G20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{317C43E4-ECA8-45F1-8B07-B54E40BF90B3}</x14:id>
        </ext>
      </extLst>
    </cfRule>
  </conditionalFormatting>
  <conditionalFormatting sqref="G25:G27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{17C527E1-E19D-4DE6-B5AE-CF395F8A37BD}</x14:id>
        </ext>
      </extLst>
    </cfRule>
  </conditionalFormatting>
  <conditionalFormatting sqref="G28:G31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{7CC3BEE4-AEBC-4BCD-80AD-DDBC490D8F0C}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{2FF364A7-F63B-485F-B8F0-74B012013B5C}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{4E625B05-363A-4EF5-8BB2-8AD43CAE1E42}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{F07D06E9-E780-4768-BA7D-AED9B5B741AC}</x14:id>
        </ext>
      </extLst>
    </cfRule>
  </conditionalFormatting>
  <conditionalFormatting sqref="G13:G18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{B1BC2431-AA64-4C48-AF6C-C71094030FF2}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{476706DB-0D21-4A98-AB7F-1124C9A55F91}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{244474DB-0B1E-4A59-AFE7-0DBC0724F080}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{4526B796-D4CD-4D44-AC5F-1DB859F7E726}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{FB7892F8-7492-4599-BBDF-57CC597A8530}</x14:id>
        </ext>
      </extLst>
    </cfRule>
  </conditionalFormatting>
  <conditionalFormatting sqref="G21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{D72A7688-9379-41B6-BB78-BA9B749B3192}</x14:id>
        </ext>
      </extLst>
    </cfRule>
  </conditionalFormatting>
  <conditionalFormatting sqref="G21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{351A3CFE-9312-43F0-83CE-AF245AC0D714}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{0B5EBBB0-2B92-47FD-B7E1-87C2A0A7EA5D}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{8ACEAE8A-6502-4558-BFF8-C0A6834E3284}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D95F0A-B0F0-49FA-B90B-389E333618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G22:G31 G10:G20</xm:sqref>
        </x14:conditionalFormatting>
        <x14:conditionalFormatting xmlns:xm="http://schemas.microsoft.com/office/excel/2006/main">
          <x14:cfRule type="dataBar" id="{317C43E4-ECA8-45F1-8B07-B54E40BF90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 G20</xm:sqref>
        </x14:conditionalFormatting>
        <x14:conditionalFormatting xmlns:xm="http://schemas.microsoft.com/office/excel/2006/main">
          <x14:cfRule type="dataBar" id="{17C527E1-E19D-4DE6-B5AE-CF395F8A37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7CC3BEE4-AEBC-4BCD-80AD-DDBC490D8F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G28:G31</xm:sqref>
        </x14:conditionalFormatting>
        <x14:conditionalFormatting xmlns:xm="http://schemas.microsoft.com/office/excel/2006/main">
          <x14:cfRule type="dataBar" id="{2FF364A7-F63B-485F-B8F0-74B012013B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E625B05-363A-4EF5-8BB2-8AD43CAE1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07D06E9-E780-4768-BA7D-AED9B5B741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B1BC2431-AA64-4C48-AF6C-C71094030F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476706DB-0D21-4A98-AB7F-1124C9A55F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244474DB-0B1E-4A59-AFE7-0DBC0724F0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526B796-D4CD-4D44-AC5F-1DB859F7E7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B7892F8-7492-4599-BBDF-57CC597A85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D72A7688-9379-41B6-BB78-BA9B749B3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351A3CFE-9312-43F0-83CE-AF245AC0D7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0B5EBBB0-2B92-47FD-B7E1-87C2A0A7EA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ACEAE8A-6502-4558-BFF8-C0A6834E32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54180-D2E7-4CE3-9FE9-DD126A2B7927}">
  <sheetPr codeName="Sheet18">
    <pageSetUpPr fitToPage="1"/>
  </sheetPr>
  <dimension ref="A1:L31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ROUND(SUM(I3:I42),0)</f>
        <v>517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12</v>
      </c>
      <c r="E3" s="12">
        <v>11</v>
      </c>
      <c r="F3" s="29">
        <v>12</v>
      </c>
      <c r="G3" s="30">
        <f>(D3-C3)/(F3-C3)</f>
        <v>1</v>
      </c>
      <c r="H3" s="29">
        <v>700</v>
      </c>
      <c r="I3" s="31">
        <f>((D3-E3)/F3)*H3</f>
        <v>58.333333333333329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8.5</v>
      </c>
      <c r="E4" s="60">
        <v>8</v>
      </c>
      <c r="F4" s="59">
        <v>65</v>
      </c>
      <c r="G4" s="30">
        <f t="shared" ref="G4:G30" si="0">(D4-C4)/(F4-C4)</f>
        <v>0.13076923076923078</v>
      </c>
      <c r="H4" s="29">
        <v>1800</v>
      </c>
      <c r="I4" s="31">
        <v>50</v>
      </c>
    </row>
    <row r="5" spans="1:12" ht="25" customHeight="1" x14ac:dyDescent="0.3">
      <c r="A5" s="104"/>
      <c r="B5" s="18" t="s">
        <v>14</v>
      </c>
      <c r="C5" s="11">
        <v>0</v>
      </c>
      <c r="D5" s="12">
        <v>3.2</v>
      </c>
      <c r="E5" s="12">
        <v>3.2</v>
      </c>
      <c r="F5" s="29">
        <v>38</v>
      </c>
      <c r="G5" s="30">
        <f t="shared" si="0"/>
        <v>8.4210526315789472E-2</v>
      </c>
      <c r="H5" s="29">
        <v>5500</v>
      </c>
      <c r="I5" s="31">
        <f t="shared" ref="I5:I30" si="1">((D5-E5)/F5)*H5</f>
        <v>0</v>
      </c>
      <c r="J5" s="1" t="s">
        <v>29</v>
      </c>
      <c r="K5" s="6">
        <v>44762</v>
      </c>
      <c r="L5" s="7">
        <v>0.90486111111111101</v>
      </c>
    </row>
    <row r="6" spans="1:12" ht="25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150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90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53</v>
      </c>
      <c r="C14" s="11">
        <v>0</v>
      </c>
      <c r="D14" s="12">
        <v>3</v>
      </c>
      <c r="E14" s="12">
        <v>2</v>
      </c>
      <c r="F14" s="29">
        <v>15</v>
      </c>
      <c r="G14" s="30">
        <f t="shared" si="0"/>
        <v>0.2</v>
      </c>
      <c r="H14" s="29">
        <v>300</v>
      </c>
      <c r="I14" s="31">
        <f t="shared" si="1"/>
        <v>20</v>
      </c>
      <c r="K14" s="90"/>
      <c r="L14" s="90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90"/>
      <c r="L15" s="90"/>
    </row>
    <row r="16" spans="1:12" ht="25" customHeight="1" x14ac:dyDescent="0.3">
      <c r="A16" s="110"/>
      <c r="B16" s="20" t="s">
        <v>46</v>
      </c>
      <c r="C16" s="11">
        <v>0</v>
      </c>
      <c r="D16" s="12">
        <v>166</v>
      </c>
      <c r="E16" s="12">
        <v>156</v>
      </c>
      <c r="F16" s="29">
        <v>495</v>
      </c>
      <c r="G16" s="30">
        <f t="shared" si="0"/>
        <v>0.33535353535353535</v>
      </c>
      <c r="H16" s="29">
        <v>1300</v>
      </c>
      <c r="I16" s="31">
        <f t="shared" si="1"/>
        <v>26.262626262626267</v>
      </c>
      <c r="K16" s="90"/>
      <c r="L16" s="90"/>
    </row>
    <row r="17" spans="1:12" ht="25" customHeight="1" x14ac:dyDescent="0.3">
      <c r="A17" s="110"/>
      <c r="B17" s="20" t="s">
        <v>43</v>
      </c>
      <c r="C17" s="11">
        <v>0</v>
      </c>
      <c r="D17" s="12">
        <v>5.4</v>
      </c>
      <c r="E17" s="12">
        <v>5</v>
      </c>
      <c r="F17" s="29">
        <v>38</v>
      </c>
      <c r="G17" s="30">
        <f t="shared" si="0"/>
        <v>0.14210526315789473</v>
      </c>
      <c r="H17" s="29">
        <v>2800</v>
      </c>
      <c r="I17" s="31">
        <f t="shared" si="1"/>
        <v>29.473684210526343</v>
      </c>
      <c r="K17" s="90"/>
      <c r="L17" s="90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45</v>
      </c>
      <c r="C21" s="11"/>
      <c r="D21" s="12" t="s">
        <v>41</v>
      </c>
      <c r="E21" s="12" t="s">
        <v>41</v>
      </c>
      <c r="F21" s="29"/>
      <c r="G21" s="86"/>
      <c r="H21" s="29"/>
      <c r="I21" s="31">
        <v>150</v>
      </c>
    </row>
    <row r="22" spans="1:12" ht="25" customHeight="1" x14ac:dyDescent="0.3">
      <c r="A22" s="114"/>
      <c r="B22" s="21" t="s">
        <v>26</v>
      </c>
      <c r="C22" s="11">
        <v>91</v>
      </c>
      <c r="D22" s="12">
        <v>92</v>
      </c>
      <c r="E22" s="12">
        <v>92</v>
      </c>
      <c r="F22" s="29">
        <v>107</v>
      </c>
      <c r="G22" s="30">
        <f t="shared" si="0"/>
        <v>6.25E-2</v>
      </c>
      <c r="H22" s="29">
        <v>500</v>
      </c>
      <c r="I22" s="31">
        <f>((D22-E22)/(F22-E22))*H22</f>
        <v>0</v>
      </c>
    </row>
    <row r="23" spans="1:12" ht="25" customHeight="1" x14ac:dyDescent="0.3">
      <c r="A23" s="115"/>
      <c r="B23" s="21" t="s">
        <v>33</v>
      </c>
      <c r="C23" s="11">
        <v>0</v>
      </c>
      <c r="D23" s="12">
        <v>1</v>
      </c>
      <c r="E23" s="12">
        <v>1</v>
      </c>
      <c r="F23" s="29">
        <v>28</v>
      </c>
      <c r="G23" s="30">
        <f t="shared" si="0"/>
        <v>3.5714285714285712E-2</v>
      </c>
      <c r="H23" s="29">
        <v>2700</v>
      </c>
      <c r="I23" s="31">
        <f t="shared" si="1"/>
        <v>0</v>
      </c>
    </row>
    <row r="24" spans="1:12" s="39" customFormat="1" ht="5" customHeight="1" x14ac:dyDescent="0.3">
      <c r="A24" s="49"/>
      <c r="B24" s="57"/>
      <c r="C24" s="50"/>
      <c r="D24" s="51"/>
      <c r="E24" s="51"/>
      <c r="F24" s="52"/>
      <c r="G24" s="53"/>
      <c r="H24" s="52"/>
      <c r="I24" s="54"/>
    </row>
    <row r="25" spans="1:12" ht="25" customHeight="1" x14ac:dyDescent="0.3">
      <c r="A25" s="97" t="s">
        <v>22</v>
      </c>
      <c r="B25" s="22" t="s">
        <v>32</v>
      </c>
      <c r="C25" s="11">
        <v>0</v>
      </c>
      <c r="D25" s="12">
        <v>4.5</v>
      </c>
      <c r="E25" s="12">
        <v>4.5</v>
      </c>
      <c r="F25" s="29">
        <v>28</v>
      </c>
      <c r="G25" s="30">
        <f t="shared" si="0"/>
        <v>0.16071428571428573</v>
      </c>
      <c r="H25" s="29">
        <v>2500</v>
      </c>
      <c r="I25" s="31">
        <f t="shared" si="1"/>
        <v>0</v>
      </c>
    </row>
    <row r="26" spans="1:12" ht="25" hidden="1" customHeight="1" x14ac:dyDescent="0.3">
      <c r="A26" s="98"/>
      <c r="B26" s="22" t="s">
        <v>47</v>
      </c>
      <c r="C26" s="11">
        <v>0</v>
      </c>
      <c r="D26" s="12">
        <v>8</v>
      </c>
      <c r="E26" s="12">
        <v>8</v>
      </c>
      <c r="F26" s="29">
        <v>8</v>
      </c>
      <c r="G26" s="30">
        <f t="shared" si="0"/>
        <v>1</v>
      </c>
      <c r="H26" s="29">
        <v>450</v>
      </c>
      <c r="I26" s="31">
        <f t="shared" si="1"/>
        <v>0</v>
      </c>
    </row>
    <row r="27" spans="1:12" s="39" customFormat="1" ht="5" customHeight="1" x14ac:dyDescent="0.3">
      <c r="A27" s="49"/>
      <c r="B27" s="58"/>
      <c r="C27" s="50"/>
      <c r="D27" s="51"/>
      <c r="E27" s="51"/>
      <c r="F27" s="52"/>
      <c r="G27" s="53"/>
      <c r="H27" s="52"/>
      <c r="I27" s="54"/>
    </row>
    <row r="28" spans="1:12" ht="25" customHeight="1" x14ac:dyDescent="0.3">
      <c r="A28" s="99" t="s">
        <v>24</v>
      </c>
      <c r="B28" s="23" t="s">
        <v>34</v>
      </c>
      <c r="C28" s="11">
        <v>72</v>
      </c>
      <c r="D28" s="12">
        <v>73</v>
      </c>
      <c r="E28" s="12">
        <v>73</v>
      </c>
      <c r="F28" s="29">
        <v>108</v>
      </c>
      <c r="G28" s="30">
        <f t="shared" si="0"/>
        <v>2.7777777777777776E-2</v>
      </c>
      <c r="H28" s="29">
        <v>750</v>
      </c>
      <c r="I28" s="31">
        <f>((D28-E28)/(F28-E28))*H28</f>
        <v>0</v>
      </c>
      <c r="K28" s="68"/>
    </row>
    <row r="29" spans="1:12" ht="25" hidden="1" customHeight="1" x14ac:dyDescent="0.3">
      <c r="A29" s="100"/>
      <c r="B29" s="23" t="s">
        <v>48</v>
      </c>
      <c r="C29" s="11">
        <v>0</v>
      </c>
      <c r="D29" s="12">
        <v>8</v>
      </c>
      <c r="E29" s="12">
        <v>8</v>
      </c>
      <c r="F29" s="29">
        <v>8</v>
      </c>
      <c r="G29" s="30">
        <f t="shared" si="0"/>
        <v>1</v>
      </c>
      <c r="H29" s="29">
        <v>450</v>
      </c>
      <c r="I29" s="31">
        <f t="shared" si="1"/>
        <v>0</v>
      </c>
    </row>
    <row r="30" spans="1:12" ht="25" customHeight="1" x14ac:dyDescent="0.3">
      <c r="A30" s="101"/>
      <c r="B30" s="24" t="s">
        <v>40</v>
      </c>
      <c r="C30" s="13">
        <v>0</v>
      </c>
      <c r="D30" s="14">
        <v>2</v>
      </c>
      <c r="E30" s="14">
        <v>1.6</v>
      </c>
      <c r="F30" s="32">
        <v>28</v>
      </c>
      <c r="G30" s="33">
        <f t="shared" si="0"/>
        <v>7.1428571428571425E-2</v>
      </c>
      <c r="H30" s="32">
        <v>2300</v>
      </c>
      <c r="I30" s="34">
        <f t="shared" si="1"/>
        <v>32.857142857142847</v>
      </c>
    </row>
    <row r="31" spans="1:12" s="39" customFormat="1" ht="5" customHeight="1" x14ac:dyDescent="0.3">
      <c r="A31" s="42"/>
      <c r="B31" s="43"/>
      <c r="C31" s="44"/>
      <c r="D31" s="45"/>
      <c r="E31" s="45"/>
      <c r="F31" s="46"/>
      <c r="G31" s="47"/>
      <c r="H31" s="46"/>
      <c r="I31" s="48"/>
    </row>
  </sheetData>
  <mergeCells count="8">
    <mergeCell ref="A25:A26"/>
    <mergeCell ref="A28:A30"/>
    <mergeCell ref="K2:L3"/>
    <mergeCell ref="A3:A6"/>
    <mergeCell ref="A8:A11"/>
    <mergeCell ref="A13:A18"/>
    <mergeCell ref="K13:L13"/>
    <mergeCell ref="A20:A23"/>
  </mergeCells>
  <phoneticPr fontId="1" type="noConversion"/>
  <conditionalFormatting sqref="G3:G6 G8 G22:G31 G10:G20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{84D4DC26-F98F-409D-A9AC-157AB847FA97}</x14:id>
        </ext>
      </extLst>
    </cfRule>
  </conditionalFormatting>
  <conditionalFormatting sqref="G22:G24 G20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{68C55100-4A53-441F-95F3-6EA8081EF84B}</x14:id>
        </ext>
      </extLst>
    </cfRule>
  </conditionalFormatting>
  <conditionalFormatting sqref="G25:G27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{A84279D3-BD72-45BB-8C84-514E6E2E5EA2}</x14:id>
        </ext>
      </extLst>
    </cfRule>
  </conditionalFormatting>
  <conditionalFormatting sqref="G28:G31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{8FBF9DCD-341E-44EE-9500-2FED9114D1CE}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{2822701C-C254-49E4-8440-E1074A10FCB8}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{CAFE5EC4-7607-4505-A42B-316D4CB8E1DC}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{59580772-51FB-4A01-9D67-BDB68F96A024}</x14:id>
        </ext>
      </extLst>
    </cfRule>
  </conditionalFormatting>
  <conditionalFormatting sqref="G13:G18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{A79547C5-2141-44F4-B4DC-32C99146F8F4}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{15A94D77-2725-4D7F-931C-3E9344B12ACE}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{0D3BA265-7BBC-4300-8570-0D4855627DBF}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{10E77368-6376-4FAA-9EA4-414F0D973348}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{0E4E4E56-E324-4A12-A3CC-F1FDEE7F8CCA}</x14:id>
        </ext>
      </extLst>
    </cfRule>
  </conditionalFormatting>
  <conditionalFormatting sqref="G21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{9F3122C9-3189-43E0-A249-F9D98FA96DDE}</x14:id>
        </ext>
      </extLst>
    </cfRule>
  </conditionalFormatting>
  <conditionalFormatting sqref="G21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{21680580-078F-41AC-86E7-C598B8669075}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{C0F6169F-4F7F-4B1B-82DC-E321CC68816C}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{A880EC9A-9923-4C4B-99F8-63610A0C1297}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4DC26-F98F-409D-A9AC-157AB847FA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G22:G31 G10:G20</xm:sqref>
        </x14:conditionalFormatting>
        <x14:conditionalFormatting xmlns:xm="http://schemas.microsoft.com/office/excel/2006/main">
          <x14:cfRule type="dataBar" id="{68C55100-4A53-441F-95F3-6EA8081EF8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 G20</xm:sqref>
        </x14:conditionalFormatting>
        <x14:conditionalFormatting xmlns:xm="http://schemas.microsoft.com/office/excel/2006/main">
          <x14:cfRule type="dataBar" id="{A84279D3-BD72-45BB-8C84-514E6E2E5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8FBF9DCD-341E-44EE-9500-2FED9114D1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G28:G31</xm:sqref>
        </x14:conditionalFormatting>
        <x14:conditionalFormatting xmlns:xm="http://schemas.microsoft.com/office/excel/2006/main">
          <x14:cfRule type="dataBar" id="{2822701C-C254-49E4-8440-E1074A10FC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AFE5EC4-7607-4505-A42B-316D4CB8E1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9580772-51FB-4A01-9D67-BDB68F96A0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A79547C5-2141-44F4-B4DC-32C99146F8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15A94D77-2725-4D7F-931C-3E9344B12A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D3BA265-7BBC-4300-8570-0D4855627D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10E77368-6376-4FAA-9EA4-414F0D9733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4E4E56-E324-4A12-A3CC-F1FDEE7F8C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9F3122C9-3189-43E0-A249-F9D98FA96D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21680580-078F-41AC-86E7-C598B86690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0F6169F-4F7F-4B1B-82DC-E321CC6881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880EC9A-9923-4C4B-99F8-63610A0C12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3D5CC-338B-4A6C-A50F-402A2BCD8266}">
  <sheetPr codeName="Sheet17">
    <pageSetUpPr fitToPage="1"/>
  </sheetPr>
  <dimension ref="A1:L31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ROUND(SUM(I3:I42),0)</f>
        <v>479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11</v>
      </c>
      <c r="E3" s="12">
        <v>10</v>
      </c>
      <c r="F3" s="29">
        <v>12</v>
      </c>
      <c r="G3" s="30">
        <f>(D3-C3)/(F3-C3)</f>
        <v>0.91666666666666663</v>
      </c>
      <c r="H3" s="29">
        <v>700</v>
      </c>
      <c r="I3" s="31">
        <f>((D3-E3)/F3)*H3</f>
        <v>58.333333333333329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8</v>
      </c>
      <c r="E4" s="60">
        <v>8</v>
      </c>
      <c r="F4" s="59">
        <v>65</v>
      </c>
      <c r="G4" s="30">
        <f t="shared" ref="G4:G30" si="0">(D4-C4)/(F4-C4)</f>
        <v>0.12307692307692308</v>
      </c>
      <c r="H4" s="29">
        <v>1800</v>
      </c>
      <c r="I4" s="31">
        <v>0</v>
      </c>
    </row>
    <row r="5" spans="1:12" ht="25" customHeight="1" x14ac:dyDescent="0.3">
      <c r="A5" s="104"/>
      <c r="B5" s="18" t="s">
        <v>14</v>
      </c>
      <c r="C5" s="11">
        <v>0</v>
      </c>
      <c r="D5" s="12">
        <v>3.2</v>
      </c>
      <c r="E5" s="12">
        <v>3.2</v>
      </c>
      <c r="F5" s="29">
        <v>38</v>
      </c>
      <c r="G5" s="30">
        <f t="shared" si="0"/>
        <v>8.4210526315789472E-2</v>
      </c>
      <c r="H5" s="29">
        <v>5500</v>
      </c>
      <c r="I5" s="31">
        <f t="shared" ref="I5:I30" si="1">((D5-E5)/F5)*H5</f>
        <v>0</v>
      </c>
      <c r="J5" s="1" t="s">
        <v>29</v>
      </c>
      <c r="K5" s="6">
        <v>44761</v>
      </c>
      <c r="L5" s="7">
        <v>0.91249999999999998</v>
      </c>
    </row>
    <row r="6" spans="1:12" ht="25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150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89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53</v>
      </c>
      <c r="C14" s="11">
        <v>0</v>
      </c>
      <c r="D14" s="12">
        <v>2</v>
      </c>
      <c r="E14" s="12">
        <v>1</v>
      </c>
      <c r="F14" s="29">
        <v>15</v>
      </c>
      <c r="G14" s="30">
        <f t="shared" si="0"/>
        <v>0.13333333333333333</v>
      </c>
      <c r="H14" s="29">
        <v>300</v>
      </c>
      <c r="I14" s="31">
        <f t="shared" si="1"/>
        <v>20</v>
      </c>
      <c r="K14" s="89"/>
      <c r="L14" s="89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9"/>
      <c r="L15" s="89"/>
    </row>
    <row r="16" spans="1:12" ht="25" customHeight="1" x14ac:dyDescent="0.3">
      <c r="A16" s="110"/>
      <c r="B16" s="20" t="s">
        <v>46</v>
      </c>
      <c r="C16" s="11">
        <v>0</v>
      </c>
      <c r="D16" s="12">
        <v>156</v>
      </c>
      <c r="E16" s="12">
        <v>156</v>
      </c>
      <c r="F16" s="29">
        <v>495</v>
      </c>
      <c r="G16" s="30">
        <f t="shared" si="0"/>
        <v>0.31515151515151513</v>
      </c>
      <c r="H16" s="29">
        <v>1300</v>
      </c>
      <c r="I16" s="31">
        <f t="shared" si="1"/>
        <v>0</v>
      </c>
      <c r="K16" s="89"/>
      <c r="L16" s="89"/>
    </row>
    <row r="17" spans="1:12" ht="25" customHeight="1" x14ac:dyDescent="0.3">
      <c r="A17" s="110"/>
      <c r="B17" s="20" t="s">
        <v>43</v>
      </c>
      <c r="C17" s="11">
        <v>0</v>
      </c>
      <c r="D17" s="12">
        <v>5</v>
      </c>
      <c r="E17" s="12">
        <v>4.3</v>
      </c>
      <c r="F17" s="29">
        <v>38</v>
      </c>
      <c r="G17" s="30">
        <f t="shared" si="0"/>
        <v>0.13157894736842105</v>
      </c>
      <c r="H17" s="29">
        <v>2800</v>
      </c>
      <c r="I17" s="31">
        <f t="shared" si="1"/>
        <v>51.578947368421069</v>
      </c>
      <c r="K17" s="89"/>
      <c r="L17" s="89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45</v>
      </c>
      <c r="C21" s="11"/>
      <c r="D21" s="12" t="s">
        <v>41</v>
      </c>
      <c r="E21" s="12" t="s">
        <v>41</v>
      </c>
      <c r="F21" s="29"/>
      <c r="G21" s="86"/>
      <c r="H21" s="29"/>
      <c r="I21" s="31">
        <v>150</v>
      </c>
    </row>
    <row r="22" spans="1:12" ht="25" customHeight="1" x14ac:dyDescent="0.3">
      <c r="A22" s="114"/>
      <c r="B22" s="21" t="s">
        <v>26</v>
      </c>
      <c r="C22" s="11">
        <v>91</v>
      </c>
      <c r="D22" s="12">
        <v>92</v>
      </c>
      <c r="E22" s="12">
        <v>92</v>
      </c>
      <c r="F22" s="29">
        <v>107</v>
      </c>
      <c r="G22" s="30">
        <f t="shared" si="0"/>
        <v>6.25E-2</v>
      </c>
      <c r="H22" s="29">
        <v>500</v>
      </c>
      <c r="I22" s="31">
        <f>((D22-E22)/(F22-E22))*H22</f>
        <v>0</v>
      </c>
    </row>
    <row r="23" spans="1:12" ht="25" customHeight="1" x14ac:dyDescent="0.3">
      <c r="A23" s="115"/>
      <c r="B23" s="21" t="s">
        <v>33</v>
      </c>
      <c r="C23" s="11">
        <v>0</v>
      </c>
      <c r="D23" s="12">
        <v>1</v>
      </c>
      <c r="E23" s="12">
        <v>1</v>
      </c>
      <c r="F23" s="29">
        <v>28</v>
      </c>
      <c r="G23" s="30">
        <f t="shared" si="0"/>
        <v>3.5714285714285712E-2</v>
      </c>
      <c r="H23" s="29">
        <v>2700</v>
      </c>
      <c r="I23" s="31">
        <f t="shared" si="1"/>
        <v>0</v>
      </c>
    </row>
    <row r="24" spans="1:12" s="39" customFormat="1" ht="5" customHeight="1" x14ac:dyDescent="0.3">
      <c r="A24" s="49"/>
      <c r="B24" s="57"/>
      <c r="C24" s="50"/>
      <c r="D24" s="51"/>
      <c r="E24" s="51"/>
      <c r="F24" s="52"/>
      <c r="G24" s="53"/>
      <c r="H24" s="52"/>
      <c r="I24" s="54"/>
    </row>
    <row r="25" spans="1:12" ht="25" customHeight="1" x14ac:dyDescent="0.3">
      <c r="A25" s="97" t="s">
        <v>22</v>
      </c>
      <c r="B25" s="22" t="s">
        <v>32</v>
      </c>
      <c r="C25" s="11">
        <v>0</v>
      </c>
      <c r="D25" s="12">
        <v>4.5</v>
      </c>
      <c r="E25" s="12">
        <v>4.5</v>
      </c>
      <c r="F25" s="29">
        <v>28</v>
      </c>
      <c r="G25" s="30">
        <f t="shared" si="0"/>
        <v>0.16071428571428573</v>
      </c>
      <c r="H25" s="29">
        <v>2500</v>
      </c>
      <c r="I25" s="31">
        <f t="shared" si="1"/>
        <v>0</v>
      </c>
    </row>
    <row r="26" spans="1:12" ht="25" hidden="1" customHeight="1" x14ac:dyDescent="0.3">
      <c r="A26" s="98"/>
      <c r="B26" s="22" t="s">
        <v>47</v>
      </c>
      <c r="C26" s="11">
        <v>0</v>
      </c>
      <c r="D26" s="12">
        <v>8</v>
      </c>
      <c r="E26" s="12">
        <v>8</v>
      </c>
      <c r="F26" s="29">
        <v>8</v>
      </c>
      <c r="G26" s="30">
        <f t="shared" si="0"/>
        <v>1</v>
      </c>
      <c r="H26" s="29">
        <v>450</v>
      </c>
      <c r="I26" s="31">
        <f t="shared" si="1"/>
        <v>0</v>
      </c>
    </row>
    <row r="27" spans="1:12" s="39" customFormat="1" ht="5" customHeight="1" x14ac:dyDescent="0.3">
      <c r="A27" s="49"/>
      <c r="B27" s="58"/>
      <c r="C27" s="50"/>
      <c r="D27" s="51"/>
      <c r="E27" s="51"/>
      <c r="F27" s="52"/>
      <c r="G27" s="53"/>
      <c r="H27" s="52"/>
      <c r="I27" s="54"/>
    </row>
    <row r="28" spans="1:12" ht="25" customHeight="1" x14ac:dyDescent="0.3">
      <c r="A28" s="99" t="s">
        <v>24</v>
      </c>
      <c r="B28" s="23" t="s">
        <v>34</v>
      </c>
      <c r="C28" s="11">
        <v>72</v>
      </c>
      <c r="D28" s="12">
        <v>73</v>
      </c>
      <c r="E28" s="12">
        <v>73</v>
      </c>
      <c r="F28" s="29">
        <v>108</v>
      </c>
      <c r="G28" s="30">
        <f t="shared" si="0"/>
        <v>2.7777777777777776E-2</v>
      </c>
      <c r="H28" s="29">
        <v>750</v>
      </c>
      <c r="I28" s="31">
        <f>((D28-E28)/(F28-E28))*H28</f>
        <v>0</v>
      </c>
      <c r="K28" s="68"/>
    </row>
    <row r="29" spans="1:12" ht="25" hidden="1" customHeight="1" x14ac:dyDescent="0.3">
      <c r="A29" s="100"/>
      <c r="B29" s="23" t="s">
        <v>48</v>
      </c>
      <c r="C29" s="11">
        <v>0</v>
      </c>
      <c r="D29" s="12">
        <v>8</v>
      </c>
      <c r="E29" s="12">
        <v>8</v>
      </c>
      <c r="F29" s="29">
        <v>8</v>
      </c>
      <c r="G29" s="30">
        <f t="shared" si="0"/>
        <v>1</v>
      </c>
      <c r="H29" s="29">
        <v>450</v>
      </c>
      <c r="I29" s="31">
        <f t="shared" si="1"/>
        <v>0</v>
      </c>
    </row>
    <row r="30" spans="1:12" ht="25" customHeight="1" x14ac:dyDescent="0.3">
      <c r="A30" s="101"/>
      <c r="B30" s="24" t="s">
        <v>40</v>
      </c>
      <c r="C30" s="13">
        <v>0</v>
      </c>
      <c r="D30" s="14">
        <v>1.6</v>
      </c>
      <c r="E30" s="14">
        <v>1</v>
      </c>
      <c r="F30" s="32">
        <v>28</v>
      </c>
      <c r="G30" s="33">
        <f t="shared" si="0"/>
        <v>5.7142857142857148E-2</v>
      </c>
      <c r="H30" s="32">
        <v>2300</v>
      </c>
      <c r="I30" s="34">
        <f t="shared" si="1"/>
        <v>49.285714285714292</v>
      </c>
    </row>
    <row r="31" spans="1:12" s="39" customFormat="1" ht="5" customHeight="1" x14ac:dyDescent="0.3">
      <c r="A31" s="42"/>
      <c r="B31" s="43"/>
      <c r="C31" s="44"/>
      <c r="D31" s="45"/>
      <c r="E31" s="45"/>
      <c r="F31" s="46"/>
      <c r="G31" s="47"/>
      <c r="H31" s="46"/>
      <c r="I31" s="48"/>
    </row>
  </sheetData>
  <mergeCells count="8">
    <mergeCell ref="A25:A26"/>
    <mergeCell ref="A28:A30"/>
    <mergeCell ref="K2:L3"/>
    <mergeCell ref="A3:A6"/>
    <mergeCell ref="A8:A11"/>
    <mergeCell ref="A13:A18"/>
    <mergeCell ref="K13:L13"/>
    <mergeCell ref="A20:A23"/>
  </mergeCells>
  <phoneticPr fontId="1" type="noConversion"/>
  <conditionalFormatting sqref="G3:G6 G8 G22:G31 G10:G20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{0E960F16-0629-4979-91CB-74FFCE42D591}</x14:id>
        </ext>
      </extLst>
    </cfRule>
  </conditionalFormatting>
  <conditionalFormatting sqref="G22:G24 G20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{07FE332E-0D50-4B88-B99F-436414536E5F}</x14:id>
        </ext>
      </extLst>
    </cfRule>
  </conditionalFormatting>
  <conditionalFormatting sqref="G25:G27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{D8172D3D-205F-415F-8AE7-259338AA06EA}</x14:id>
        </ext>
      </extLst>
    </cfRule>
  </conditionalFormatting>
  <conditionalFormatting sqref="G28:G31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{7875706D-0735-4CB6-B492-226ECEAEDDC5}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{9FE4B66E-2B73-45A2-9678-135331CF0376}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{25FF7E49-188B-461A-B15C-158E5B2B1F69}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{95D87C85-4C12-4AC8-BE33-2300D3B16A76}</x14:id>
        </ext>
      </extLst>
    </cfRule>
  </conditionalFormatting>
  <conditionalFormatting sqref="G13:G18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{EB651B97-D686-4972-9891-2DB58C76C665}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{099D326F-DB5D-4E12-9A57-E0C23213735A}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{B2A34FAC-E521-4738-99FB-EB7BF9788D8F}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{92F025B3-06E9-4B2B-BD67-AF9061FD01FD}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{49BA1F0B-90F2-4178-9B72-556A1DA43C73}</x14:id>
        </ext>
      </extLst>
    </cfRule>
  </conditionalFormatting>
  <conditionalFormatting sqref="G21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{E1A2410D-2C59-4E42-9391-3BD16A5DCDA8}</x14:id>
        </ext>
      </extLst>
    </cfRule>
  </conditionalFormatting>
  <conditionalFormatting sqref="G21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{5A2EA102-D0F8-4384-9D99-A5D02EC4437B}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{16DA8250-522E-4BF6-8C40-47E7BB3D168D}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{8B47A134-1B2D-4681-92F7-379EEC48D2E2}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960F16-0629-4979-91CB-74FFCE42D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G22:G31 G10:G20</xm:sqref>
        </x14:conditionalFormatting>
        <x14:conditionalFormatting xmlns:xm="http://schemas.microsoft.com/office/excel/2006/main">
          <x14:cfRule type="dataBar" id="{07FE332E-0D50-4B88-B99F-436414536E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 G20</xm:sqref>
        </x14:conditionalFormatting>
        <x14:conditionalFormatting xmlns:xm="http://schemas.microsoft.com/office/excel/2006/main">
          <x14:cfRule type="dataBar" id="{D8172D3D-205F-415F-8AE7-259338AA06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7875706D-0735-4CB6-B492-226ECEAEDD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G28:G31</xm:sqref>
        </x14:conditionalFormatting>
        <x14:conditionalFormatting xmlns:xm="http://schemas.microsoft.com/office/excel/2006/main">
          <x14:cfRule type="dataBar" id="{9FE4B66E-2B73-45A2-9678-135331CF03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25FF7E49-188B-461A-B15C-158E5B2B1F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5D87C85-4C12-4AC8-BE33-2300D3B16A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EB651B97-D686-4972-9891-2DB58C76C6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099D326F-DB5D-4E12-9A57-E0C2321373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B2A34FAC-E521-4738-99FB-EB7BF9788D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92F025B3-06E9-4B2B-BD67-AF9061FD01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9BA1F0B-90F2-4178-9B72-556A1DA43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E1A2410D-2C59-4E42-9391-3BD16A5DCD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5A2EA102-D0F8-4384-9D99-A5D02EC443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16DA8250-522E-4BF6-8C40-47E7BB3D16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47A134-1B2D-4681-92F7-379EEC48D2E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E2E6-922A-4DE1-8313-B23820317945}">
  <sheetPr codeName="Sheet16">
    <pageSetUpPr fitToPage="1"/>
  </sheetPr>
  <dimension ref="A1:L31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ROUND(SUM(I3:I42),0)</f>
        <v>362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10</v>
      </c>
      <c r="E3" s="12">
        <v>10</v>
      </c>
      <c r="F3" s="29">
        <v>12</v>
      </c>
      <c r="G3" s="30">
        <f>(D3-C3)/(F3-C3)</f>
        <v>0.83333333333333337</v>
      </c>
      <c r="H3" s="29">
        <v>700</v>
      </c>
      <c r="I3" s="31">
        <f>((D3-E3)/F3)*H3</f>
        <v>0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8</v>
      </c>
      <c r="E4" s="60">
        <v>8</v>
      </c>
      <c r="F4" s="59">
        <v>65</v>
      </c>
      <c r="G4" s="30">
        <f t="shared" ref="G4:G30" si="0">(D4-C4)/(F4-C4)</f>
        <v>0.12307692307692308</v>
      </c>
      <c r="H4" s="29">
        <v>1800</v>
      </c>
      <c r="I4" s="31">
        <v>0</v>
      </c>
    </row>
    <row r="5" spans="1:12" ht="25" customHeight="1" x14ac:dyDescent="0.3">
      <c r="A5" s="104"/>
      <c r="B5" s="18" t="s">
        <v>14</v>
      </c>
      <c r="C5" s="11">
        <v>0</v>
      </c>
      <c r="D5" s="12">
        <v>3.2</v>
      </c>
      <c r="E5" s="12">
        <v>3.2</v>
      </c>
      <c r="F5" s="29">
        <v>38</v>
      </c>
      <c r="G5" s="30">
        <f t="shared" si="0"/>
        <v>8.4210526315789472E-2</v>
      </c>
      <c r="H5" s="29">
        <v>5500</v>
      </c>
      <c r="I5" s="31">
        <f t="shared" ref="I5:I30" si="1">((D5-E5)/F5)*H5</f>
        <v>0</v>
      </c>
      <c r="J5" s="1" t="s">
        <v>29</v>
      </c>
      <c r="K5" s="6">
        <v>44760</v>
      </c>
      <c r="L5" s="7">
        <v>0.8847222222222223</v>
      </c>
    </row>
    <row r="6" spans="1:12" ht="25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170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</f>
        <v>0</v>
      </c>
      <c r="J11" s="1" t="s">
        <v>30</v>
      </c>
      <c r="K11" s="9"/>
      <c r="L11" s="88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53</v>
      </c>
      <c r="C14" s="11">
        <v>0</v>
      </c>
      <c r="D14" s="12">
        <v>1</v>
      </c>
      <c r="E14" s="12">
        <v>1</v>
      </c>
      <c r="F14" s="29">
        <v>15</v>
      </c>
      <c r="G14" s="30">
        <f t="shared" si="0"/>
        <v>6.6666666666666666E-2</v>
      </c>
      <c r="H14" s="29">
        <v>300</v>
      </c>
      <c r="I14" s="31">
        <f t="shared" si="1"/>
        <v>0</v>
      </c>
      <c r="K14" s="88"/>
      <c r="L14" s="88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8"/>
      <c r="L15" s="88"/>
    </row>
    <row r="16" spans="1:12" ht="25" customHeight="1" x14ac:dyDescent="0.3">
      <c r="A16" s="110"/>
      <c r="B16" s="20" t="s">
        <v>46</v>
      </c>
      <c r="C16" s="11">
        <v>0</v>
      </c>
      <c r="D16" s="12">
        <v>156</v>
      </c>
      <c r="E16" s="12">
        <v>156</v>
      </c>
      <c r="F16" s="29">
        <v>495</v>
      </c>
      <c r="G16" s="30">
        <f t="shared" si="0"/>
        <v>0.31515151515151513</v>
      </c>
      <c r="H16" s="29">
        <v>1300</v>
      </c>
      <c r="I16" s="31">
        <f t="shared" si="1"/>
        <v>0</v>
      </c>
      <c r="K16" s="88"/>
      <c r="L16" s="88"/>
    </row>
    <row r="17" spans="1:12" ht="25" customHeight="1" x14ac:dyDescent="0.3">
      <c r="A17" s="110"/>
      <c r="B17" s="20" t="s">
        <v>43</v>
      </c>
      <c r="C17" s="11">
        <v>0</v>
      </c>
      <c r="D17" s="12">
        <v>4.3</v>
      </c>
      <c r="E17" s="12">
        <v>4</v>
      </c>
      <c r="F17" s="29">
        <v>38</v>
      </c>
      <c r="G17" s="30">
        <f t="shared" si="0"/>
        <v>0.1131578947368421</v>
      </c>
      <c r="H17" s="29">
        <v>2800</v>
      </c>
      <c r="I17" s="31">
        <f t="shared" si="1"/>
        <v>22.105263157894722</v>
      </c>
      <c r="K17" s="88"/>
      <c r="L17" s="88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45</v>
      </c>
      <c r="C21" s="11"/>
      <c r="D21" s="12" t="s">
        <v>41</v>
      </c>
      <c r="E21" s="12" t="s">
        <v>41</v>
      </c>
      <c r="F21" s="29"/>
      <c r="G21" s="86"/>
      <c r="H21" s="29"/>
      <c r="I21" s="31">
        <v>170</v>
      </c>
    </row>
    <row r="22" spans="1:12" ht="25" customHeight="1" x14ac:dyDescent="0.3">
      <c r="A22" s="114"/>
      <c r="B22" s="21" t="s">
        <v>26</v>
      </c>
      <c r="C22" s="11">
        <v>91</v>
      </c>
      <c r="D22" s="12">
        <v>92</v>
      </c>
      <c r="E22" s="12">
        <v>92</v>
      </c>
      <c r="F22" s="29">
        <v>107</v>
      </c>
      <c r="G22" s="30">
        <f t="shared" si="0"/>
        <v>6.25E-2</v>
      </c>
      <c r="H22" s="29">
        <v>500</v>
      </c>
      <c r="I22" s="31">
        <f>((D22-E22)/(F22-E22))*H22</f>
        <v>0</v>
      </c>
    </row>
    <row r="23" spans="1:12" ht="25" customHeight="1" x14ac:dyDescent="0.3">
      <c r="A23" s="115"/>
      <c r="B23" s="21" t="s">
        <v>33</v>
      </c>
      <c r="C23" s="11">
        <v>0</v>
      </c>
      <c r="D23" s="12">
        <v>1</v>
      </c>
      <c r="E23" s="12">
        <v>1</v>
      </c>
      <c r="F23" s="29">
        <v>28</v>
      </c>
      <c r="G23" s="30">
        <f t="shared" si="0"/>
        <v>3.5714285714285712E-2</v>
      </c>
      <c r="H23" s="29">
        <v>2700</v>
      </c>
      <c r="I23" s="31">
        <f t="shared" si="1"/>
        <v>0</v>
      </c>
    </row>
    <row r="24" spans="1:12" s="39" customFormat="1" ht="5" customHeight="1" x14ac:dyDescent="0.3">
      <c r="A24" s="49"/>
      <c r="B24" s="57"/>
      <c r="C24" s="50"/>
      <c r="D24" s="51"/>
      <c r="E24" s="51"/>
      <c r="F24" s="52"/>
      <c r="G24" s="53"/>
      <c r="H24" s="52"/>
      <c r="I24" s="54"/>
    </row>
    <row r="25" spans="1:12" ht="25" customHeight="1" x14ac:dyDescent="0.3">
      <c r="A25" s="97" t="s">
        <v>22</v>
      </c>
      <c r="B25" s="22" t="s">
        <v>32</v>
      </c>
      <c r="C25" s="11">
        <v>0</v>
      </c>
      <c r="D25" s="12">
        <v>4.5</v>
      </c>
      <c r="E25" s="12">
        <v>4.5</v>
      </c>
      <c r="F25" s="29">
        <v>28</v>
      </c>
      <c r="G25" s="30">
        <f t="shared" si="0"/>
        <v>0.16071428571428573</v>
      </c>
      <c r="H25" s="29">
        <v>2500</v>
      </c>
      <c r="I25" s="31">
        <f t="shared" si="1"/>
        <v>0</v>
      </c>
    </row>
    <row r="26" spans="1:12" ht="25" hidden="1" customHeight="1" x14ac:dyDescent="0.3">
      <c r="A26" s="98"/>
      <c r="B26" s="22" t="s">
        <v>47</v>
      </c>
      <c r="C26" s="11">
        <v>0</v>
      </c>
      <c r="D26" s="12">
        <v>8</v>
      </c>
      <c r="E26" s="12">
        <v>8</v>
      </c>
      <c r="F26" s="29">
        <v>8</v>
      </c>
      <c r="G26" s="30">
        <f t="shared" si="0"/>
        <v>1</v>
      </c>
      <c r="H26" s="29">
        <v>450</v>
      </c>
      <c r="I26" s="31">
        <f t="shared" si="1"/>
        <v>0</v>
      </c>
    </row>
    <row r="27" spans="1:12" s="39" customFormat="1" ht="5" customHeight="1" x14ac:dyDescent="0.3">
      <c r="A27" s="49"/>
      <c r="B27" s="58"/>
      <c r="C27" s="50"/>
      <c r="D27" s="51"/>
      <c r="E27" s="51"/>
      <c r="F27" s="52"/>
      <c r="G27" s="53"/>
      <c r="H27" s="52"/>
      <c r="I27" s="54"/>
    </row>
    <row r="28" spans="1:12" ht="25" customHeight="1" x14ac:dyDescent="0.3">
      <c r="A28" s="99" t="s">
        <v>24</v>
      </c>
      <c r="B28" s="23" t="s">
        <v>34</v>
      </c>
      <c r="C28" s="11">
        <v>72</v>
      </c>
      <c r="D28" s="12">
        <v>73</v>
      </c>
      <c r="E28" s="12">
        <v>73</v>
      </c>
      <c r="F28" s="29">
        <v>108</v>
      </c>
      <c r="G28" s="30">
        <f t="shared" si="0"/>
        <v>2.7777777777777776E-2</v>
      </c>
      <c r="H28" s="29">
        <v>750</v>
      </c>
      <c r="I28" s="31">
        <f>((D28-E28)/(F28-E28))*H28</f>
        <v>0</v>
      </c>
      <c r="K28" s="68"/>
    </row>
    <row r="29" spans="1:12" ht="25" hidden="1" customHeight="1" x14ac:dyDescent="0.3">
      <c r="A29" s="100"/>
      <c r="B29" s="23" t="s">
        <v>48</v>
      </c>
      <c r="C29" s="11">
        <v>0</v>
      </c>
      <c r="D29" s="12">
        <v>8</v>
      </c>
      <c r="E29" s="12">
        <v>8</v>
      </c>
      <c r="F29" s="29">
        <v>8</v>
      </c>
      <c r="G29" s="30">
        <f t="shared" si="0"/>
        <v>1</v>
      </c>
      <c r="H29" s="29">
        <v>450</v>
      </c>
      <c r="I29" s="31">
        <f t="shared" si="1"/>
        <v>0</v>
      </c>
    </row>
    <row r="30" spans="1:12" ht="25" customHeight="1" x14ac:dyDescent="0.3">
      <c r="A30" s="101"/>
      <c r="B30" s="24" t="s">
        <v>40</v>
      </c>
      <c r="C30" s="13">
        <v>0</v>
      </c>
      <c r="D30" s="14">
        <v>1</v>
      </c>
      <c r="E30" s="14">
        <v>1</v>
      </c>
      <c r="F30" s="32">
        <v>28</v>
      </c>
      <c r="G30" s="33">
        <f t="shared" si="0"/>
        <v>3.5714285714285712E-2</v>
      </c>
      <c r="H30" s="32">
        <v>2300</v>
      </c>
      <c r="I30" s="34">
        <f t="shared" si="1"/>
        <v>0</v>
      </c>
    </row>
    <row r="31" spans="1:12" s="39" customFormat="1" ht="5" customHeight="1" x14ac:dyDescent="0.3">
      <c r="A31" s="42"/>
      <c r="B31" s="43"/>
      <c r="C31" s="44"/>
      <c r="D31" s="45"/>
      <c r="E31" s="45"/>
      <c r="F31" s="46"/>
      <c r="G31" s="47"/>
      <c r="H31" s="46"/>
      <c r="I31" s="48"/>
    </row>
  </sheetData>
  <mergeCells count="8">
    <mergeCell ref="A25:A26"/>
    <mergeCell ref="A28:A30"/>
    <mergeCell ref="K2:L3"/>
    <mergeCell ref="A3:A6"/>
    <mergeCell ref="A8:A11"/>
    <mergeCell ref="A13:A18"/>
    <mergeCell ref="K13:L13"/>
    <mergeCell ref="A20:A23"/>
  </mergeCells>
  <phoneticPr fontId="1" type="noConversion"/>
  <conditionalFormatting sqref="G3:G6 G8 G22:G31 G10:G20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{9751D4F6-4E54-4621-AC00-1998772E9EFA}</x14:id>
        </ext>
      </extLst>
    </cfRule>
  </conditionalFormatting>
  <conditionalFormatting sqref="G22:G24 G20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{EBA65CF3-04C1-40F2-91F8-B6968D47D8D3}</x14:id>
        </ext>
      </extLst>
    </cfRule>
  </conditionalFormatting>
  <conditionalFormatting sqref="G25:G27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{6D546FDC-E965-4B06-8EA3-BBA9817529C3}</x14:id>
        </ext>
      </extLst>
    </cfRule>
  </conditionalFormatting>
  <conditionalFormatting sqref="G28:G31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{A8A2DEBB-81E3-44CA-A607-304616B6B922}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{9FB388B1-0A77-45A7-8B00-1DAE99D3DEAC}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{7473BAE3-7F3E-4DA8-8EA6-8B0213B90CA1}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{EC313086-8C6D-4002-BA06-90D52AF4078B}</x14:id>
        </ext>
      </extLst>
    </cfRule>
  </conditionalFormatting>
  <conditionalFormatting sqref="G13:G18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{A84F4E8D-16E2-4801-B939-07A4FA9A0FF9}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{11EC5EDD-874E-4689-BB87-8B2A1A60472C}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{912CB303-F89A-4D0E-9F4E-EDDDD34C882C}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{13BE0126-D0BC-46D5-8451-0D4D36916BAA}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{2CC933C0-EDEE-4013-A2F6-5B3CC0DE7378}</x14:id>
        </ext>
      </extLst>
    </cfRule>
  </conditionalFormatting>
  <conditionalFormatting sqref="G21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{C92FEE0D-A222-4DD2-9102-5F110423906C}</x14:id>
        </ext>
      </extLst>
    </cfRule>
  </conditionalFormatting>
  <conditionalFormatting sqref="G21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{03D04058-5F1E-45E7-B08D-EFBF1A26EA97}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{D3BD52B5-3A99-419B-9FF5-D11A84CC46E4}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{689CA81F-6E12-460B-B460-61180773FA7C}</x14:id>
        </ext>
      </extLst>
    </cfRule>
  </conditionalFormatting>
  <pageMargins left="0.7" right="0.7" top="0.75" bottom="0.75" header="0.3" footer="0.3"/>
  <pageSetup paperSize="9" scale="58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51D4F6-4E54-4621-AC00-1998772E9E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G22:G31 G10:G20</xm:sqref>
        </x14:conditionalFormatting>
        <x14:conditionalFormatting xmlns:xm="http://schemas.microsoft.com/office/excel/2006/main">
          <x14:cfRule type="dataBar" id="{EBA65CF3-04C1-40F2-91F8-B6968D47D8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 G20</xm:sqref>
        </x14:conditionalFormatting>
        <x14:conditionalFormatting xmlns:xm="http://schemas.microsoft.com/office/excel/2006/main">
          <x14:cfRule type="dataBar" id="{6D546FDC-E965-4B06-8EA3-BBA9817529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A8A2DEBB-81E3-44CA-A607-304616B6B9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G28:G31</xm:sqref>
        </x14:conditionalFormatting>
        <x14:conditionalFormatting xmlns:xm="http://schemas.microsoft.com/office/excel/2006/main">
          <x14:cfRule type="dataBar" id="{9FB388B1-0A77-45A7-8B00-1DAE99D3DE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7473BAE3-7F3E-4DA8-8EA6-8B0213B90C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313086-8C6D-4002-BA06-90D52AF407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A84F4E8D-16E2-4801-B939-07A4FA9A0F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11EC5EDD-874E-4689-BB87-8B2A1A6047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912CB303-F89A-4D0E-9F4E-EDDDD34C88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13BE0126-D0BC-46D5-8451-0D4D36916B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C933C0-EDEE-4013-A2F6-5B3CC0DE73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C92FEE0D-A222-4DD2-9102-5F11042390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03D04058-5F1E-45E7-B08D-EFBF1A26EA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D3BD52B5-3A99-419B-9FF5-D11A84CC46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9CA81F-6E12-460B-B460-61180773FA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B2B-B77E-4623-8B8E-0A9FDF9C2C0E}">
  <sheetPr codeName="Sheet15">
    <pageSetUpPr fitToPage="1"/>
  </sheetPr>
  <dimension ref="A1:L31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ROUND(SUM(I3:I42),0)</f>
        <v>274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10</v>
      </c>
      <c r="E3" s="12">
        <v>10</v>
      </c>
      <c r="F3" s="29">
        <v>12</v>
      </c>
      <c r="G3" s="30">
        <f>(D3-C3)/(F3-C3)</f>
        <v>0.83333333333333337</v>
      </c>
      <c r="H3" s="29">
        <v>700</v>
      </c>
      <c r="I3" s="31">
        <f>((D3-E3)/F3)*H3</f>
        <v>0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8</v>
      </c>
      <c r="E4" s="60">
        <v>7.4</v>
      </c>
      <c r="F4" s="59">
        <v>65</v>
      </c>
      <c r="G4" s="30">
        <f t="shared" ref="G4:G30" si="0">(D4-C4)/(F4-C4)</f>
        <v>0.12307692307692308</v>
      </c>
      <c r="H4" s="29">
        <v>1800</v>
      </c>
      <c r="I4" s="31">
        <f>((D4-E4)/F4)*H4+20</f>
        <v>36.615384615384606</v>
      </c>
    </row>
    <row r="5" spans="1:12" ht="25" customHeight="1" x14ac:dyDescent="0.3">
      <c r="A5" s="104"/>
      <c r="B5" s="18" t="s">
        <v>14</v>
      </c>
      <c r="C5" s="11">
        <v>0</v>
      </c>
      <c r="D5" s="12">
        <v>3.2</v>
      </c>
      <c r="E5" s="12">
        <v>3.2</v>
      </c>
      <c r="F5" s="29">
        <v>38</v>
      </c>
      <c r="G5" s="30">
        <f t="shared" si="0"/>
        <v>8.4210526315789472E-2</v>
      </c>
      <c r="H5" s="29">
        <v>5500</v>
      </c>
      <c r="I5" s="31">
        <f t="shared" ref="I5:I30" si="1">((D5-E5)/F5)*H5</f>
        <v>0</v>
      </c>
      <c r="J5" s="1" t="s">
        <v>29</v>
      </c>
      <c r="K5" s="6">
        <v>44758</v>
      </c>
      <c r="L5" s="7">
        <v>0.90833333333333333</v>
      </c>
    </row>
    <row r="6" spans="1:12" ht="25" customHeight="1" x14ac:dyDescent="0.3">
      <c r="A6" s="105"/>
      <c r="B6" s="18" t="s">
        <v>51</v>
      </c>
      <c r="C6" s="70">
        <v>0</v>
      </c>
      <c r="D6" s="85">
        <v>0.22</v>
      </c>
      <c r="E6" s="85">
        <v>0.22</v>
      </c>
      <c r="F6" s="84">
        <v>1</v>
      </c>
      <c r="G6" s="30">
        <f t="shared" si="0"/>
        <v>0.22</v>
      </c>
      <c r="H6" s="72">
        <v>200</v>
      </c>
      <c r="I6" s="31">
        <f t="shared" si="1"/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60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>((D11-E11)/F11)*H11+90</f>
        <v>90</v>
      </c>
      <c r="J11" s="1" t="s">
        <v>30</v>
      </c>
      <c r="K11" s="9"/>
      <c r="L11" s="87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53</v>
      </c>
      <c r="C14" s="11">
        <v>0</v>
      </c>
      <c r="D14" s="12">
        <v>1</v>
      </c>
      <c r="E14" s="12">
        <v>0</v>
      </c>
      <c r="F14" s="29">
        <v>15</v>
      </c>
      <c r="G14" s="30">
        <f t="shared" si="0"/>
        <v>6.6666666666666666E-2</v>
      </c>
      <c r="H14" s="29">
        <v>300</v>
      </c>
      <c r="I14" s="31">
        <f t="shared" si="1"/>
        <v>20</v>
      </c>
      <c r="K14" s="87"/>
      <c r="L14" s="87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7"/>
      <c r="L15" s="87"/>
    </row>
    <row r="16" spans="1:12" ht="25" customHeight="1" x14ac:dyDescent="0.3">
      <c r="A16" s="110"/>
      <c r="B16" s="20" t="s">
        <v>46</v>
      </c>
      <c r="C16" s="11">
        <v>0</v>
      </c>
      <c r="D16" s="12">
        <v>156</v>
      </c>
      <c r="E16" s="12">
        <v>144</v>
      </c>
      <c r="F16" s="29">
        <v>495</v>
      </c>
      <c r="G16" s="30">
        <f t="shared" si="0"/>
        <v>0.31515151515151513</v>
      </c>
      <c r="H16" s="29">
        <v>1300</v>
      </c>
      <c r="I16" s="31">
        <f t="shared" si="1"/>
        <v>31.515151515151516</v>
      </c>
      <c r="K16" s="87"/>
      <c r="L16" s="87"/>
    </row>
    <row r="17" spans="1:12" ht="25" customHeight="1" x14ac:dyDescent="0.3">
      <c r="A17" s="110"/>
      <c r="B17" s="20" t="s">
        <v>43</v>
      </c>
      <c r="C17" s="11">
        <v>0</v>
      </c>
      <c r="D17" s="12">
        <v>4</v>
      </c>
      <c r="E17" s="12">
        <v>4</v>
      </c>
      <c r="F17" s="29">
        <v>38</v>
      </c>
      <c r="G17" s="30">
        <f t="shared" si="0"/>
        <v>0.10526315789473684</v>
      </c>
      <c r="H17" s="29">
        <v>2800</v>
      </c>
      <c r="I17" s="31">
        <f t="shared" si="1"/>
        <v>0</v>
      </c>
      <c r="K17" s="87"/>
      <c r="L17" s="87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45</v>
      </c>
      <c r="C21" s="11"/>
      <c r="D21" s="12" t="s">
        <v>41</v>
      </c>
      <c r="E21" s="12" t="s">
        <v>41</v>
      </c>
      <c r="F21" s="29"/>
      <c r="G21" s="86"/>
      <c r="H21" s="29"/>
      <c r="I21" s="31">
        <v>0</v>
      </c>
    </row>
    <row r="22" spans="1:12" ht="25" customHeight="1" x14ac:dyDescent="0.3">
      <c r="A22" s="114"/>
      <c r="B22" s="21" t="s">
        <v>26</v>
      </c>
      <c r="C22" s="11">
        <v>91</v>
      </c>
      <c r="D22" s="12">
        <v>92</v>
      </c>
      <c r="E22" s="12">
        <v>92</v>
      </c>
      <c r="F22" s="29">
        <v>107</v>
      </c>
      <c r="G22" s="30">
        <f t="shared" si="0"/>
        <v>6.25E-2</v>
      </c>
      <c r="H22" s="29">
        <v>500</v>
      </c>
      <c r="I22" s="31">
        <f>((D22-E22)/(F22-E22))*H22</f>
        <v>0</v>
      </c>
    </row>
    <row r="23" spans="1:12" ht="25" customHeight="1" x14ac:dyDescent="0.3">
      <c r="A23" s="115"/>
      <c r="B23" s="21" t="s">
        <v>33</v>
      </c>
      <c r="C23" s="11">
        <v>0</v>
      </c>
      <c r="D23" s="12">
        <v>1</v>
      </c>
      <c r="E23" s="12">
        <v>1</v>
      </c>
      <c r="F23" s="29">
        <v>28</v>
      </c>
      <c r="G23" s="30">
        <f t="shared" si="0"/>
        <v>3.5714285714285712E-2</v>
      </c>
      <c r="H23" s="29">
        <v>2700</v>
      </c>
      <c r="I23" s="31">
        <f t="shared" si="1"/>
        <v>0</v>
      </c>
    </row>
    <row r="24" spans="1:12" s="39" customFormat="1" ht="5" customHeight="1" x14ac:dyDescent="0.3">
      <c r="A24" s="49"/>
      <c r="B24" s="57"/>
      <c r="C24" s="50"/>
      <c r="D24" s="51"/>
      <c r="E24" s="51"/>
      <c r="F24" s="52"/>
      <c r="G24" s="53"/>
      <c r="H24" s="52"/>
      <c r="I24" s="54"/>
    </row>
    <row r="25" spans="1:12" ht="25" customHeight="1" x14ac:dyDescent="0.3">
      <c r="A25" s="97" t="s">
        <v>22</v>
      </c>
      <c r="B25" s="22" t="s">
        <v>32</v>
      </c>
      <c r="C25" s="11">
        <v>0</v>
      </c>
      <c r="D25" s="12">
        <v>4.5</v>
      </c>
      <c r="E25" s="12">
        <v>4.0999999999999996</v>
      </c>
      <c r="F25" s="29">
        <v>28</v>
      </c>
      <c r="G25" s="30">
        <f t="shared" si="0"/>
        <v>0.16071428571428573</v>
      </c>
      <c r="H25" s="29">
        <v>2500</v>
      </c>
      <c r="I25" s="31">
        <f t="shared" si="1"/>
        <v>35.714285714285751</v>
      </c>
    </row>
    <row r="26" spans="1:12" ht="25" hidden="1" customHeight="1" x14ac:dyDescent="0.3">
      <c r="A26" s="98"/>
      <c r="B26" s="22" t="s">
        <v>47</v>
      </c>
      <c r="C26" s="11">
        <v>0</v>
      </c>
      <c r="D26" s="12">
        <v>8</v>
      </c>
      <c r="E26" s="12">
        <v>8</v>
      </c>
      <c r="F26" s="29">
        <v>8</v>
      </c>
      <c r="G26" s="30">
        <f t="shared" si="0"/>
        <v>1</v>
      </c>
      <c r="H26" s="29">
        <v>450</v>
      </c>
      <c r="I26" s="31">
        <f t="shared" si="1"/>
        <v>0</v>
      </c>
    </row>
    <row r="27" spans="1:12" s="39" customFormat="1" ht="5" customHeight="1" x14ac:dyDescent="0.3">
      <c r="A27" s="49"/>
      <c r="B27" s="58"/>
      <c r="C27" s="50"/>
      <c r="D27" s="51"/>
      <c r="E27" s="51"/>
      <c r="F27" s="52"/>
      <c r="G27" s="53"/>
      <c r="H27" s="52"/>
      <c r="I27" s="54"/>
    </row>
    <row r="28" spans="1:12" ht="25" customHeight="1" x14ac:dyDescent="0.3">
      <c r="A28" s="99" t="s">
        <v>24</v>
      </c>
      <c r="B28" s="23" t="s">
        <v>34</v>
      </c>
      <c r="C28" s="11">
        <v>72</v>
      </c>
      <c r="D28" s="12">
        <v>73</v>
      </c>
      <c r="E28" s="12">
        <v>73</v>
      </c>
      <c r="F28" s="29">
        <v>108</v>
      </c>
      <c r="G28" s="30">
        <f t="shared" si="0"/>
        <v>2.7777777777777776E-2</v>
      </c>
      <c r="H28" s="29">
        <v>750</v>
      </c>
      <c r="I28" s="31">
        <f>((D28-E28)/(F28-E28))*H28</f>
        <v>0</v>
      </c>
      <c r="K28" s="68"/>
    </row>
    <row r="29" spans="1:12" ht="25" hidden="1" customHeight="1" x14ac:dyDescent="0.3">
      <c r="A29" s="100"/>
      <c r="B29" s="23" t="s">
        <v>48</v>
      </c>
      <c r="C29" s="11">
        <v>0</v>
      </c>
      <c r="D29" s="12">
        <v>8</v>
      </c>
      <c r="E29" s="12">
        <v>8</v>
      </c>
      <c r="F29" s="29">
        <v>8</v>
      </c>
      <c r="G29" s="30">
        <f t="shared" si="0"/>
        <v>1</v>
      </c>
      <c r="H29" s="29">
        <v>450</v>
      </c>
      <c r="I29" s="31">
        <f t="shared" si="1"/>
        <v>0</v>
      </c>
    </row>
    <row r="30" spans="1:12" ht="25" customHeight="1" x14ac:dyDescent="0.3">
      <c r="A30" s="101"/>
      <c r="B30" s="24" t="s">
        <v>40</v>
      </c>
      <c r="C30" s="13">
        <v>0</v>
      </c>
      <c r="D30" s="14">
        <v>1</v>
      </c>
      <c r="E30" s="14">
        <v>1</v>
      </c>
      <c r="F30" s="32">
        <v>28</v>
      </c>
      <c r="G30" s="33">
        <f t="shared" si="0"/>
        <v>3.5714285714285712E-2</v>
      </c>
      <c r="H30" s="32">
        <v>2300</v>
      </c>
      <c r="I30" s="34">
        <f t="shared" si="1"/>
        <v>0</v>
      </c>
    </row>
    <row r="31" spans="1:12" s="39" customFormat="1" ht="5" customHeight="1" x14ac:dyDescent="0.3">
      <c r="A31" s="42"/>
      <c r="B31" s="43"/>
      <c r="C31" s="44"/>
      <c r="D31" s="45"/>
      <c r="E31" s="45"/>
      <c r="F31" s="46"/>
      <c r="G31" s="47"/>
      <c r="H31" s="46"/>
      <c r="I31" s="48"/>
    </row>
  </sheetData>
  <mergeCells count="8">
    <mergeCell ref="A25:A26"/>
    <mergeCell ref="A28:A30"/>
    <mergeCell ref="K2:L3"/>
    <mergeCell ref="A3:A6"/>
    <mergeCell ref="A8:A11"/>
    <mergeCell ref="A13:A18"/>
    <mergeCell ref="K13:L13"/>
    <mergeCell ref="A20:A23"/>
  </mergeCells>
  <phoneticPr fontId="1" type="noConversion"/>
  <conditionalFormatting sqref="G3:G6 G8 G22:G31 G10:G20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{17E311EE-B535-42CC-9191-A6143F913F6C}</x14:id>
        </ext>
      </extLst>
    </cfRule>
  </conditionalFormatting>
  <conditionalFormatting sqref="G22:G24 G20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{2A7B197F-EF07-4E21-B8D4-568315175450}</x14:id>
        </ext>
      </extLst>
    </cfRule>
  </conditionalFormatting>
  <conditionalFormatting sqref="G25:G27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{C09C7A0C-9A93-40DC-9D31-C96AB809286C}</x14:id>
        </ext>
      </extLst>
    </cfRule>
  </conditionalFormatting>
  <conditionalFormatting sqref="G28:G31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{C655376D-A5F1-4F55-B96B-F546B7CB78CB}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{FD1BC5FB-C184-4AB9-BC7B-6C79ACCED15B}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{1DA2BCBC-805C-4B1C-B502-5634F1A7B540}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{35354439-DD5C-4BC4-9726-EEA215601977}</x14:id>
        </ext>
      </extLst>
    </cfRule>
  </conditionalFormatting>
  <conditionalFormatting sqref="G13:G18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{33DB33C5-5DCF-47E6-B2C1-A9CC512D1690}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{286FF8EB-89E4-4709-8FCE-95864B553A29}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{5BE07FC3-BDF0-48F0-918B-DB6934A51AE1}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{FE072867-00DA-4680-BAD2-483576D125B5}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{4F446572-137D-431C-91B5-F418EBA1F8CB}</x14:id>
        </ext>
      </extLst>
    </cfRule>
  </conditionalFormatting>
  <conditionalFormatting sqref="G21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{00C19AE8-5FEE-46E6-A458-7C1DFBF9B6D3}</x14:id>
        </ext>
      </extLst>
    </cfRule>
  </conditionalFormatting>
  <conditionalFormatting sqref="G21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{F33BCAC2-216A-421F-9301-85F7B8A923F6}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{5F8CB273-DA3C-4AD5-8E3C-D41E9DB89E99}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{DA892E63-CE9A-4697-BDCB-269B7E3554F8}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E311EE-B535-42CC-9191-A6143F913F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G22:G31 G10:G20</xm:sqref>
        </x14:conditionalFormatting>
        <x14:conditionalFormatting xmlns:xm="http://schemas.microsoft.com/office/excel/2006/main">
          <x14:cfRule type="dataBar" id="{2A7B197F-EF07-4E21-B8D4-5683151754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 G20</xm:sqref>
        </x14:conditionalFormatting>
        <x14:conditionalFormatting xmlns:xm="http://schemas.microsoft.com/office/excel/2006/main">
          <x14:cfRule type="dataBar" id="{C09C7A0C-9A93-40DC-9D31-C96AB80928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C655376D-A5F1-4F55-B96B-F546B7CB78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G28:G31</xm:sqref>
        </x14:conditionalFormatting>
        <x14:conditionalFormatting xmlns:xm="http://schemas.microsoft.com/office/excel/2006/main">
          <x14:cfRule type="dataBar" id="{FD1BC5FB-C184-4AB9-BC7B-6C79ACCED1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1DA2BCBC-805C-4B1C-B502-5634F1A7B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5354439-DD5C-4BC4-9726-EEA2156019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33DB33C5-5DCF-47E6-B2C1-A9CC512D16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286FF8EB-89E4-4709-8FCE-95864B553A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5BE07FC3-BDF0-48F0-918B-DB6934A51A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FE072867-00DA-4680-BAD2-483576D125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F446572-137D-431C-91B5-F418EBA1F8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0C19AE8-5FEE-46E6-A458-7C1DFBF9B6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F33BCAC2-216A-421F-9301-85F7B8A923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5F8CB273-DA3C-4AD5-8E3C-D41E9DB89E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A892E63-CE9A-4697-BDCB-269B7E3554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6190-906D-4598-A27B-F2810748B70F}">
  <sheetPr codeName="Sheet13">
    <pageSetUpPr fitToPage="1"/>
  </sheetPr>
  <dimension ref="A1:L31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ROUND(SUM(I3:I42),0)</f>
        <v>488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10</v>
      </c>
      <c r="E3" s="12">
        <v>10</v>
      </c>
      <c r="F3" s="29">
        <v>12</v>
      </c>
      <c r="G3" s="30">
        <f>(D3-C3)/(F3-C3)</f>
        <v>0.83333333333333337</v>
      </c>
      <c r="H3" s="29">
        <v>700</v>
      </c>
      <c r="I3" s="31">
        <f>((D3-E3)/F3)*H3</f>
        <v>0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7.4</v>
      </c>
      <c r="E4" s="60">
        <v>7.4</v>
      </c>
      <c r="F4" s="59">
        <v>65</v>
      </c>
      <c r="G4" s="30">
        <f t="shared" ref="G4:G30" si="0">(D4-C4)/(F4-C4)</f>
        <v>0.11384615384615385</v>
      </c>
      <c r="H4" s="29">
        <v>1800</v>
      </c>
      <c r="I4" s="31">
        <f>((D4-E4)/F4)*H4</f>
        <v>0</v>
      </c>
    </row>
    <row r="5" spans="1:12" ht="25" customHeight="1" x14ac:dyDescent="0.3">
      <c r="A5" s="104"/>
      <c r="B5" s="18" t="s">
        <v>14</v>
      </c>
      <c r="C5" s="11">
        <v>0</v>
      </c>
      <c r="D5" s="12">
        <v>3.2</v>
      </c>
      <c r="E5" s="12">
        <v>2.7</v>
      </c>
      <c r="F5" s="29">
        <v>38</v>
      </c>
      <c r="G5" s="30">
        <f t="shared" si="0"/>
        <v>8.4210526315789472E-2</v>
      </c>
      <c r="H5" s="29">
        <v>5500</v>
      </c>
      <c r="I5" s="31">
        <f t="shared" ref="I5:I30" si="1">((D5-E5)/F5)*H5</f>
        <v>72.368421052631575</v>
      </c>
      <c r="J5" s="1" t="s">
        <v>29</v>
      </c>
      <c r="K5" s="6">
        <v>44758</v>
      </c>
      <c r="L5" s="7">
        <v>0.90833333333333333</v>
      </c>
    </row>
    <row r="6" spans="1:12" ht="25" customHeight="1" x14ac:dyDescent="0.3">
      <c r="A6" s="105"/>
      <c r="B6" s="18" t="s">
        <v>51</v>
      </c>
      <c r="C6" s="70">
        <v>0</v>
      </c>
      <c r="D6" s="85">
        <v>0.22</v>
      </c>
      <c r="E6" s="85">
        <v>0.16</v>
      </c>
      <c r="F6" s="84">
        <v>1</v>
      </c>
      <c r="G6" s="30">
        <f t="shared" si="0"/>
        <v>0.22</v>
      </c>
      <c r="H6" s="72">
        <v>200</v>
      </c>
      <c r="I6" s="31">
        <f t="shared" si="1"/>
        <v>12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180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1</v>
      </c>
      <c r="F11" s="29">
        <v>38</v>
      </c>
      <c r="G11" s="30">
        <f t="shared" si="0"/>
        <v>2.6315789473684209E-2</v>
      </c>
      <c r="H11" s="29">
        <v>6000</v>
      </c>
      <c r="I11" s="31">
        <f t="shared" si="1"/>
        <v>0</v>
      </c>
      <c r="J11" s="1" t="s">
        <v>30</v>
      </c>
      <c r="K11" s="9"/>
      <c r="L11" s="83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52</v>
      </c>
      <c r="C14" s="11">
        <v>0</v>
      </c>
      <c r="D14" s="12" t="s">
        <v>41</v>
      </c>
      <c r="E14" s="12">
        <v>17</v>
      </c>
      <c r="F14" s="29">
        <v>17</v>
      </c>
      <c r="G14" s="67"/>
      <c r="H14" s="29">
        <v>350</v>
      </c>
      <c r="I14" s="31">
        <v>20</v>
      </c>
      <c r="K14" s="83"/>
      <c r="L14" s="83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3"/>
      <c r="L15" s="83"/>
    </row>
    <row r="16" spans="1:12" ht="25" customHeight="1" x14ac:dyDescent="0.3">
      <c r="A16" s="110"/>
      <c r="B16" s="20" t="s">
        <v>46</v>
      </c>
      <c r="C16" s="11">
        <v>0</v>
      </c>
      <c r="D16" s="12">
        <v>144</v>
      </c>
      <c r="E16" s="12">
        <v>144</v>
      </c>
      <c r="F16" s="29">
        <v>495</v>
      </c>
      <c r="G16" s="30">
        <f t="shared" si="0"/>
        <v>0.29090909090909089</v>
      </c>
      <c r="H16" s="29">
        <v>1300</v>
      </c>
      <c r="I16" s="31">
        <f t="shared" si="1"/>
        <v>0</v>
      </c>
      <c r="K16" s="83"/>
      <c r="L16" s="83"/>
    </row>
    <row r="17" spans="1:12" ht="25" customHeight="1" x14ac:dyDescent="0.3">
      <c r="A17" s="110"/>
      <c r="B17" s="20" t="s">
        <v>43</v>
      </c>
      <c r="C17" s="11">
        <v>0</v>
      </c>
      <c r="D17" s="12">
        <v>4</v>
      </c>
      <c r="E17" s="12">
        <v>3</v>
      </c>
      <c r="F17" s="29">
        <v>38</v>
      </c>
      <c r="G17" s="30">
        <f t="shared" si="0"/>
        <v>0.10526315789473684</v>
      </c>
      <c r="H17" s="29">
        <v>2800</v>
      </c>
      <c r="I17" s="31">
        <f t="shared" si="1"/>
        <v>73.68421052631578</v>
      </c>
      <c r="K17" s="83"/>
      <c r="L17" s="83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45</v>
      </c>
      <c r="C21" s="11"/>
      <c r="D21" s="12" t="s">
        <v>41</v>
      </c>
      <c r="E21" s="12" t="s">
        <v>41</v>
      </c>
      <c r="F21" s="29"/>
      <c r="G21" s="86"/>
      <c r="H21" s="29"/>
      <c r="I21" s="31">
        <v>130</v>
      </c>
    </row>
    <row r="22" spans="1:12" ht="25" customHeight="1" x14ac:dyDescent="0.3">
      <c r="A22" s="114"/>
      <c r="B22" s="21" t="s">
        <v>26</v>
      </c>
      <c r="C22" s="11">
        <v>91</v>
      </c>
      <c r="D22" s="12">
        <v>92</v>
      </c>
      <c r="E22" s="12">
        <v>92</v>
      </c>
      <c r="F22" s="29">
        <v>107</v>
      </c>
      <c r="G22" s="30">
        <f t="shared" si="0"/>
        <v>6.25E-2</v>
      </c>
      <c r="H22" s="29">
        <v>500</v>
      </c>
      <c r="I22" s="31">
        <f>((D22-E22)/(F22-E22))*H22</f>
        <v>0</v>
      </c>
    </row>
    <row r="23" spans="1:12" ht="25" customHeight="1" x14ac:dyDescent="0.3">
      <c r="A23" s="115"/>
      <c r="B23" s="21" t="s">
        <v>33</v>
      </c>
      <c r="C23" s="11">
        <v>0</v>
      </c>
      <c r="D23" s="12">
        <v>1</v>
      </c>
      <c r="E23" s="12">
        <v>1</v>
      </c>
      <c r="F23" s="29">
        <v>28</v>
      </c>
      <c r="G23" s="30">
        <f t="shared" si="0"/>
        <v>3.5714285714285712E-2</v>
      </c>
      <c r="H23" s="29">
        <v>2700</v>
      </c>
      <c r="I23" s="31">
        <f t="shared" si="1"/>
        <v>0</v>
      </c>
    </row>
    <row r="24" spans="1:12" s="39" customFormat="1" ht="5" customHeight="1" x14ac:dyDescent="0.3">
      <c r="A24" s="49"/>
      <c r="B24" s="57"/>
      <c r="C24" s="50"/>
      <c r="D24" s="51"/>
      <c r="E24" s="51"/>
      <c r="F24" s="52"/>
      <c r="G24" s="53"/>
      <c r="H24" s="52"/>
      <c r="I24" s="54"/>
    </row>
    <row r="25" spans="1:12" ht="25" customHeight="1" x14ac:dyDescent="0.3">
      <c r="A25" s="97" t="s">
        <v>22</v>
      </c>
      <c r="B25" s="22" t="s">
        <v>32</v>
      </c>
      <c r="C25" s="11">
        <v>0</v>
      </c>
      <c r="D25" s="12">
        <v>4.0999999999999996</v>
      </c>
      <c r="E25" s="12">
        <v>4.0999999999999996</v>
      </c>
      <c r="F25" s="29">
        <v>28</v>
      </c>
      <c r="G25" s="30">
        <f t="shared" si="0"/>
        <v>0.14642857142857141</v>
      </c>
      <c r="H25" s="29">
        <v>2500</v>
      </c>
      <c r="I25" s="31">
        <f t="shared" si="1"/>
        <v>0</v>
      </c>
    </row>
    <row r="26" spans="1:12" ht="25" hidden="1" customHeight="1" x14ac:dyDescent="0.3">
      <c r="A26" s="98"/>
      <c r="B26" s="22" t="s">
        <v>47</v>
      </c>
      <c r="C26" s="11">
        <v>0</v>
      </c>
      <c r="D26" s="12">
        <v>8</v>
      </c>
      <c r="E26" s="12">
        <v>8</v>
      </c>
      <c r="F26" s="29">
        <v>8</v>
      </c>
      <c r="G26" s="30">
        <f t="shared" si="0"/>
        <v>1</v>
      </c>
      <c r="H26" s="29">
        <v>450</v>
      </c>
      <c r="I26" s="31">
        <f t="shared" si="1"/>
        <v>0</v>
      </c>
    </row>
    <row r="27" spans="1:12" s="39" customFormat="1" ht="5" customHeight="1" x14ac:dyDescent="0.3">
      <c r="A27" s="49"/>
      <c r="B27" s="58"/>
      <c r="C27" s="50"/>
      <c r="D27" s="51"/>
      <c r="E27" s="51"/>
      <c r="F27" s="52"/>
      <c r="G27" s="53"/>
      <c r="H27" s="52"/>
      <c r="I27" s="54"/>
    </row>
    <row r="28" spans="1:12" ht="25" customHeight="1" x14ac:dyDescent="0.3">
      <c r="A28" s="99" t="s">
        <v>24</v>
      </c>
      <c r="B28" s="23" t="s">
        <v>34</v>
      </c>
      <c r="C28" s="11">
        <v>72</v>
      </c>
      <c r="D28" s="12">
        <v>73</v>
      </c>
      <c r="E28" s="12">
        <v>73</v>
      </c>
      <c r="F28" s="29">
        <v>108</v>
      </c>
      <c r="G28" s="30">
        <f t="shared" si="0"/>
        <v>2.7777777777777776E-2</v>
      </c>
      <c r="H28" s="29">
        <v>750</v>
      </c>
      <c r="I28" s="31">
        <f>((D28-E28)/(F28-E28))*H28</f>
        <v>0</v>
      </c>
      <c r="K28" s="68"/>
    </row>
    <row r="29" spans="1:12" ht="25" hidden="1" customHeight="1" x14ac:dyDescent="0.3">
      <c r="A29" s="100"/>
      <c r="B29" s="23" t="s">
        <v>48</v>
      </c>
      <c r="C29" s="11">
        <v>0</v>
      </c>
      <c r="D29" s="12">
        <v>8</v>
      </c>
      <c r="E29" s="12">
        <v>8</v>
      </c>
      <c r="F29" s="29">
        <v>8</v>
      </c>
      <c r="G29" s="30">
        <f t="shared" si="0"/>
        <v>1</v>
      </c>
      <c r="H29" s="29">
        <v>450</v>
      </c>
      <c r="I29" s="31">
        <f t="shared" si="1"/>
        <v>0</v>
      </c>
    </row>
    <row r="30" spans="1:12" ht="25" customHeight="1" x14ac:dyDescent="0.3">
      <c r="A30" s="101"/>
      <c r="B30" s="24" t="s">
        <v>40</v>
      </c>
      <c r="C30" s="13">
        <v>0</v>
      </c>
      <c r="D30" s="14">
        <v>1</v>
      </c>
      <c r="E30" s="14">
        <v>1</v>
      </c>
      <c r="F30" s="32">
        <v>28</v>
      </c>
      <c r="G30" s="33">
        <f t="shared" si="0"/>
        <v>3.5714285714285712E-2</v>
      </c>
      <c r="H30" s="32">
        <v>2300</v>
      </c>
      <c r="I30" s="34">
        <f t="shared" si="1"/>
        <v>0</v>
      </c>
    </row>
    <row r="31" spans="1:12" s="39" customFormat="1" ht="5" customHeight="1" x14ac:dyDescent="0.3">
      <c r="A31" s="42"/>
      <c r="B31" s="43"/>
      <c r="C31" s="44"/>
      <c r="D31" s="45"/>
      <c r="E31" s="45"/>
      <c r="F31" s="46"/>
      <c r="G31" s="47"/>
      <c r="H31" s="46"/>
      <c r="I31" s="48"/>
    </row>
  </sheetData>
  <mergeCells count="8">
    <mergeCell ref="A25:A26"/>
    <mergeCell ref="A28:A30"/>
    <mergeCell ref="K2:L3"/>
    <mergeCell ref="A3:A6"/>
    <mergeCell ref="A8:A11"/>
    <mergeCell ref="A13:A18"/>
    <mergeCell ref="K13:L13"/>
    <mergeCell ref="A20:A23"/>
  </mergeCells>
  <phoneticPr fontId="1" type="noConversion"/>
  <conditionalFormatting sqref="G3:G6 G8 G22:G31 G10:G20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{EBE57BBA-D907-40ED-9FA8-FE48904C2243}</x14:id>
        </ext>
      </extLst>
    </cfRule>
  </conditionalFormatting>
  <conditionalFormatting sqref="G22:G24 G20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{29CEB4BB-9EB0-4CCA-9800-792889B06F7B}</x14:id>
        </ext>
      </extLst>
    </cfRule>
  </conditionalFormatting>
  <conditionalFormatting sqref="G25:G27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{B0DCB367-A4F4-4D5A-BB9C-60DE9E77C4C6}</x14:id>
        </ext>
      </extLst>
    </cfRule>
  </conditionalFormatting>
  <conditionalFormatting sqref="G28:G31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{BBFF8F38-4C13-4517-942C-1E5C11A9D6B5}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{21D3884A-8F8D-40D7-9637-66EB4E7C84C8}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{889D9C28-2DB4-4B0F-9D18-DF96F0E68A44}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{9CCA30F2-BE97-496F-B001-18877E565CEA}</x14:id>
        </ext>
      </extLst>
    </cfRule>
  </conditionalFormatting>
  <conditionalFormatting sqref="G13:G18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{7F85D0B9-B580-4998-B3CD-47E9CC906BB5}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{430A6204-DDBD-49DC-8EF4-593BC2431683}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{A7E88156-D2E2-45D7-895C-0497A7140261}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{020B5035-A5B2-49D0-86E6-417696C271D2}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{59F02B33-6C30-42DE-85E5-3CFB6BF365B0}</x14:id>
        </ext>
      </extLst>
    </cfRule>
  </conditionalFormatting>
  <conditionalFormatting sqref="G21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{30FBBC07-3AF9-4A1C-9531-333A842F0E3C}</x14:id>
        </ext>
      </extLst>
    </cfRule>
  </conditionalFormatting>
  <conditionalFormatting sqref="G21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{0D8C5581-27DF-4D2C-AA4A-119E166ACDEB}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{7D3F70DA-0629-4E8A-90F4-E2E6AC1586F5}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{EA11E06F-F513-4D62-8A6A-95CC0B637B75}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E57BBA-D907-40ED-9FA8-FE48904C22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G22:G31 G10:G20</xm:sqref>
        </x14:conditionalFormatting>
        <x14:conditionalFormatting xmlns:xm="http://schemas.microsoft.com/office/excel/2006/main">
          <x14:cfRule type="dataBar" id="{29CEB4BB-9EB0-4CCA-9800-792889B06F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 G20</xm:sqref>
        </x14:conditionalFormatting>
        <x14:conditionalFormatting xmlns:xm="http://schemas.microsoft.com/office/excel/2006/main">
          <x14:cfRule type="dataBar" id="{B0DCB367-A4F4-4D5A-BB9C-60DE9E77C4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BBFF8F38-4C13-4517-942C-1E5C11A9D6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G28:G31</xm:sqref>
        </x14:conditionalFormatting>
        <x14:conditionalFormatting xmlns:xm="http://schemas.microsoft.com/office/excel/2006/main">
          <x14:cfRule type="dataBar" id="{21D3884A-8F8D-40D7-9637-66EB4E7C84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89D9C28-2DB4-4B0F-9D18-DF96F0E68A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CA30F2-BE97-496F-B001-18877E565C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7F85D0B9-B580-4998-B3CD-47E9CC906B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430A6204-DDBD-49DC-8EF4-593BC24316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A7E88156-D2E2-45D7-895C-0497A71402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020B5035-A5B2-49D0-86E6-417696C271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9F02B33-6C30-42DE-85E5-3CFB6BF365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30FBBC07-3AF9-4A1C-9531-333A842F0E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0D8C5581-27DF-4D2C-AA4A-119E166ACD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7D3F70DA-0629-4E8A-90F4-E2E6AC1586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A11E06F-F513-4D62-8A6A-95CC0B637B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4FD0B-EDE4-4A02-955F-8E996F9D394A}">
  <sheetPr codeName="Sheet12">
    <pageSetUpPr fitToPage="1"/>
  </sheetPr>
  <dimension ref="A1:L31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ROUND(SUM(I3:I42),0)</f>
        <v>364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10</v>
      </c>
      <c r="E3" s="12">
        <v>10</v>
      </c>
      <c r="F3" s="29">
        <v>12</v>
      </c>
      <c r="G3" s="30">
        <f>(D3-C3)/(F3-C3)</f>
        <v>0.83333333333333337</v>
      </c>
      <c r="H3" s="29">
        <v>700</v>
      </c>
      <c r="I3" s="31">
        <f>((D3-E3)/F3)*H3</f>
        <v>0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7.4</v>
      </c>
      <c r="E4" s="60">
        <v>7.4</v>
      </c>
      <c r="F4" s="59">
        <v>65</v>
      </c>
      <c r="G4" s="30">
        <f t="shared" ref="G4:G30" si="0">(D4-C4)/(F4-C4)</f>
        <v>0.11384615384615385</v>
      </c>
      <c r="H4" s="29">
        <v>1800</v>
      </c>
      <c r="I4" s="31">
        <f>((D4-E4)/F4)*H4</f>
        <v>0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ref="I5:I30" si="1">((D5-E5)/F5)*H5</f>
        <v>0</v>
      </c>
      <c r="J5" s="1" t="s">
        <v>29</v>
      </c>
      <c r="K5" s="6">
        <v>44757</v>
      </c>
      <c r="L5" s="7">
        <v>0.90138888888888891</v>
      </c>
    </row>
    <row r="6" spans="1:12" ht="25" customHeight="1" x14ac:dyDescent="0.3">
      <c r="A6" s="105"/>
      <c r="B6" s="18" t="s">
        <v>51</v>
      </c>
      <c r="C6" s="70">
        <v>0</v>
      </c>
      <c r="D6" s="85">
        <v>0.16</v>
      </c>
      <c r="E6" s="85">
        <v>0</v>
      </c>
      <c r="F6" s="84">
        <v>1</v>
      </c>
      <c r="G6" s="30">
        <f t="shared" si="0"/>
        <v>0.16</v>
      </c>
      <c r="H6" s="72">
        <v>200</v>
      </c>
      <c r="I6" s="31">
        <f t="shared" si="1"/>
        <v>32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/>
    </row>
    <row r="11" spans="1:12" ht="25" customHeight="1" x14ac:dyDescent="0.3">
      <c r="A11" s="108"/>
      <c r="B11" s="19" t="s">
        <v>16</v>
      </c>
      <c r="C11" s="11">
        <v>0</v>
      </c>
      <c r="D11" s="12">
        <v>1</v>
      </c>
      <c r="E11" s="12">
        <v>0</v>
      </c>
      <c r="F11" s="29">
        <v>38</v>
      </c>
      <c r="G11" s="30">
        <f t="shared" si="0"/>
        <v>2.6315789473684209E-2</v>
      </c>
      <c r="H11" s="29">
        <v>6000</v>
      </c>
      <c r="I11" s="31">
        <f t="shared" si="1"/>
        <v>157.89473684210526</v>
      </c>
      <c r="J11" s="1" t="s">
        <v>30</v>
      </c>
      <c r="K11" s="9"/>
      <c r="L11" s="82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42</v>
      </c>
      <c r="C14" s="11">
        <v>0</v>
      </c>
      <c r="D14" s="12">
        <v>17</v>
      </c>
      <c r="E14" s="12">
        <v>17</v>
      </c>
      <c r="F14" s="29">
        <v>17</v>
      </c>
      <c r="G14" s="30">
        <f t="shared" si="0"/>
        <v>1</v>
      </c>
      <c r="H14" s="29">
        <v>350</v>
      </c>
      <c r="I14" s="31">
        <f t="shared" si="1"/>
        <v>0</v>
      </c>
      <c r="K14" s="82"/>
      <c r="L14" s="82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2"/>
      <c r="L15" s="82"/>
    </row>
    <row r="16" spans="1:12" ht="25" customHeight="1" x14ac:dyDescent="0.3">
      <c r="A16" s="110"/>
      <c r="B16" s="20" t="s">
        <v>46</v>
      </c>
      <c r="C16" s="11">
        <v>0</v>
      </c>
      <c r="D16" s="12">
        <v>144</v>
      </c>
      <c r="E16" s="12">
        <v>144</v>
      </c>
      <c r="F16" s="29">
        <v>495</v>
      </c>
      <c r="G16" s="30">
        <f t="shared" si="0"/>
        <v>0.29090909090909089</v>
      </c>
      <c r="H16" s="29">
        <v>1300</v>
      </c>
      <c r="I16" s="31">
        <f t="shared" si="1"/>
        <v>0</v>
      </c>
      <c r="K16" s="82"/>
      <c r="L16" s="82"/>
    </row>
    <row r="17" spans="1:12" ht="25" customHeight="1" x14ac:dyDescent="0.3">
      <c r="A17" s="110"/>
      <c r="B17" s="20" t="s">
        <v>43</v>
      </c>
      <c r="C17" s="11">
        <v>0</v>
      </c>
      <c r="D17" s="12">
        <v>3</v>
      </c>
      <c r="E17" s="12">
        <v>2</v>
      </c>
      <c r="F17" s="29">
        <v>38</v>
      </c>
      <c r="G17" s="30">
        <f t="shared" si="0"/>
        <v>7.8947368421052627E-2</v>
      </c>
      <c r="H17" s="29">
        <v>2800</v>
      </c>
      <c r="I17" s="31">
        <f t="shared" si="1"/>
        <v>73.68421052631578</v>
      </c>
      <c r="K17" s="82"/>
      <c r="L17" s="82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45</v>
      </c>
      <c r="C21" s="11"/>
      <c r="D21" s="12" t="s">
        <v>41</v>
      </c>
      <c r="E21" s="12" t="s">
        <v>41</v>
      </c>
      <c r="F21" s="29"/>
      <c r="G21" s="86"/>
      <c r="H21" s="29"/>
      <c r="I21" s="31">
        <v>100</v>
      </c>
    </row>
    <row r="22" spans="1:12" ht="25" customHeight="1" x14ac:dyDescent="0.3">
      <c r="A22" s="114"/>
      <c r="B22" s="21" t="s">
        <v>26</v>
      </c>
      <c r="C22" s="11">
        <v>91</v>
      </c>
      <c r="D22" s="12">
        <v>92</v>
      </c>
      <c r="E22" s="12">
        <v>92</v>
      </c>
      <c r="F22" s="29">
        <v>107</v>
      </c>
      <c r="G22" s="30">
        <f t="shared" si="0"/>
        <v>6.25E-2</v>
      </c>
      <c r="H22" s="29">
        <v>500</v>
      </c>
      <c r="I22" s="31">
        <f>((D22-E22)/(F22-E22))*H22</f>
        <v>0</v>
      </c>
    </row>
    <row r="23" spans="1:12" ht="25" customHeight="1" x14ac:dyDescent="0.3">
      <c r="A23" s="115"/>
      <c r="B23" s="21" t="s">
        <v>33</v>
      </c>
      <c r="C23" s="11">
        <v>0</v>
      </c>
      <c r="D23" s="12">
        <v>1</v>
      </c>
      <c r="E23" s="12">
        <v>1</v>
      </c>
      <c r="F23" s="29">
        <v>28</v>
      </c>
      <c r="G23" s="30">
        <f t="shared" si="0"/>
        <v>3.5714285714285712E-2</v>
      </c>
      <c r="H23" s="29">
        <v>2700</v>
      </c>
      <c r="I23" s="31">
        <f t="shared" si="1"/>
        <v>0</v>
      </c>
    </row>
    <row r="24" spans="1:12" s="39" customFormat="1" ht="5" customHeight="1" x14ac:dyDescent="0.3">
      <c r="A24" s="49"/>
      <c r="B24" s="57"/>
      <c r="C24" s="50"/>
      <c r="D24" s="51"/>
      <c r="E24" s="51"/>
      <c r="F24" s="52"/>
      <c r="G24" s="53"/>
      <c r="H24" s="52"/>
      <c r="I24" s="54"/>
    </row>
    <row r="25" spans="1:12" ht="25" customHeight="1" x14ac:dyDescent="0.3">
      <c r="A25" s="97" t="s">
        <v>22</v>
      </c>
      <c r="B25" s="22" t="s">
        <v>32</v>
      </c>
      <c r="C25" s="11">
        <v>0</v>
      </c>
      <c r="D25" s="12">
        <v>4.0999999999999996</v>
      </c>
      <c r="E25" s="12">
        <v>4.0999999999999996</v>
      </c>
      <c r="F25" s="29">
        <v>28</v>
      </c>
      <c r="G25" s="30">
        <f t="shared" si="0"/>
        <v>0.14642857142857141</v>
      </c>
      <c r="H25" s="29">
        <v>2500</v>
      </c>
      <c r="I25" s="31">
        <f t="shared" si="1"/>
        <v>0</v>
      </c>
    </row>
    <row r="26" spans="1:12" ht="25" hidden="1" customHeight="1" x14ac:dyDescent="0.3">
      <c r="A26" s="98"/>
      <c r="B26" s="22" t="s">
        <v>47</v>
      </c>
      <c r="C26" s="11">
        <v>0</v>
      </c>
      <c r="D26" s="12">
        <v>8</v>
      </c>
      <c r="E26" s="12">
        <v>8</v>
      </c>
      <c r="F26" s="29">
        <v>8</v>
      </c>
      <c r="G26" s="30">
        <f t="shared" si="0"/>
        <v>1</v>
      </c>
      <c r="H26" s="29">
        <v>450</v>
      </c>
      <c r="I26" s="31">
        <f t="shared" si="1"/>
        <v>0</v>
      </c>
    </row>
    <row r="27" spans="1:12" s="39" customFormat="1" ht="5" customHeight="1" x14ac:dyDescent="0.3">
      <c r="A27" s="49"/>
      <c r="B27" s="58"/>
      <c r="C27" s="50"/>
      <c r="D27" s="51"/>
      <c r="E27" s="51"/>
      <c r="F27" s="52"/>
      <c r="G27" s="53"/>
      <c r="H27" s="52"/>
      <c r="I27" s="54"/>
    </row>
    <row r="28" spans="1:12" ht="25" customHeight="1" x14ac:dyDescent="0.3">
      <c r="A28" s="99" t="s">
        <v>24</v>
      </c>
      <c r="B28" s="23" t="s">
        <v>34</v>
      </c>
      <c r="C28" s="11">
        <v>72</v>
      </c>
      <c r="D28" s="12">
        <v>73</v>
      </c>
      <c r="E28" s="12">
        <v>73</v>
      </c>
      <c r="F28" s="29">
        <v>108</v>
      </c>
      <c r="G28" s="30">
        <f t="shared" si="0"/>
        <v>2.7777777777777776E-2</v>
      </c>
      <c r="H28" s="29">
        <v>750</v>
      </c>
      <c r="I28" s="31">
        <f>((D28-E28)/(F28-E28))*H28</f>
        <v>0</v>
      </c>
      <c r="K28" s="68"/>
    </row>
    <row r="29" spans="1:12" ht="25" hidden="1" customHeight="1" x14ac:dyDescent="0.3">
      <c r="A29" s="100"/>
      <c r="B29" s="23" t="s">
        <v>48</v>
      </c>
      <c r="C29" s="11">
        <v>0</v>
      </c>
      <c r="D29" s="12">
        <v>8</v>
      </c>
      <c r="E29" s="12">
        <v>8</v>
      </c>
      <c r="F29" s="29">
        <v>8</v>
      </c>
      <c r="G29" s="30">
        <f t="shared" si="0"/>
        <v>1</v>
      </c>
      <c r="H29" s="29">
        <v>450</v>
      </c>
      <c r="I29" s="31">
        <f t="shared" si="1"/>
        <v>0</v>
      </c>
    </row>
    <row r="30" spans="1:12" ht="25" customHeight="1" x14ac:dyDescent="0.3">
      <c r="A30" s="101"/>
      <c r="B30" s="24" t="s">
        <v>40</v>
      </c>
      <c r="C30" s="13">
        <v>0</v>
      </c>
      <c r="D30" s="14">
        <v>1</v>
      </c>
      <c r="E30" s="14">
        <v>1</v>
      </c>
      <c r="F30" s="32">
        <v>28</v>
      </c>
      <c r="G30" s="33">
        <f t="shared" si="0"/>
        <v>3.5714285714285712E-2</v>
      </c>
      <c r="H30" s="32">
        <v>2300</v>
      </c>
      <c r="I30" s="34">
        <f t="shared" si="1"/>
        <v>0</v>
      </c>
    </row>
    <row r="31" spans="1:12" s="39" customFormat="1" ht="5" customHeight="1" x14ac:dyDescent="0.3">
      <c r="A31" s="42"/>
      <c r="B31" s="43"/>
      <c r="C31" s="44"/>
      <c r="D31" s="45"/>
      <c r="E31" s="45"/>
      <c r="F31" s="46"/>
      <c r="G31" s="47"/>
      <c r="H31" s="46"/>
      <c r="I31" s="48"/>
    </row>
  </sheetData>
  <mergeCells count="8">
    <mergeCell ref="A25:A26"/>
    <mergeCell ref="A28:A30"/>
    <mergeCell ref="K2:L3"/>
    <mergeCell ref="A3:A6"/>
    <mergeCell ref="A8:A11"/>
    <mergeCell ref="A13:A18"/>
    <mergeCell ref="K13:L13"/>
    <mergeCell ref="A20:A23"/>
  </mergeCells>
  <phoneticPr fontId="1" type="noConversion"/>
  <conditionalFormatting sqref="G3:G6 G8 G10:G20 G22:G31">
    <cfRule type="dataBar" priority="1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{DC676303-A72A-4BEC-B755-F770330EEED4}</x14:id>
        </ext>
      </extLst>
    </cfRule>
  </conditionalFormatting>
  <conditionalFormatting sqref="G22:G24 G20">
    <cfRule type="dataBar" priority="15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{9F377557-3D30-4D79-9C85-F1F532ED4976}</x14:id>
        </ext>
      </extLst>
    </cfRule>
  </conditionalFormatting>
  <conditionalFormatting sqref="G25:G27">
    <cfRule type="dataBar" priority="14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{1E04D632-836C-4C2B-8308-497AB9214670}</x14:id>
        </ext>
      </extLst>
    </cfRule>
  </conditionalFormatting>
  <conditionalFormatting sqref="G28:G31">
    <cfRule type="dataBar" priority="13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{FAF080B2-DA37-4404-BE89-AA409268A863}</x14:id>
        </ext>
      </extLst>
    </cfRule>
  </conditionalFormatting>
  <conditionalFormatting sqref="G10:G11 G8">
    <cfRule type="dataBar" priority="10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{0148BD55-C866-422F-8014-6F45D1CAF2B5}</x14:id>
        </ext>
      </extLst>
    </cfRule>
    <cfRule type="dataBar" priority="1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{F57BB0C8-A9C9-49DE-B3CB-7D0C7BC26873}</x14:id>
        </ext>
      </extLst>
    </cfRule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{64357D46-0868-4C4A-845B-EF7A8405C1D2}</x14:id>
        </ext>
      </extLst>
    </cfRule>
  </conditionalFormatting>
  <conditionalFormatting sqref="G13:G18">
    <cfRule type="dataBar" priority="9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{C1435421-7FA4-4082-B755-ECC9B5672235}</x14:id>
        </ext>
      </extLst>
    </cfRule>
  </conditionalFormatting>
  <conditionalFormatting sqref="G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{CEF2DFFD-95C3-46FC-BA4E-52A3A7DF96D1}</x14:id>
        </ext>
      </extLst>
    </cfRule>
  </conditionalFormatting>
  <conditionalFormatting sqref="G9">
    <cfRule type="dataBar" priority="5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{0084C315-158A-4EAE-807E-0814E9BB29F5}</x14:id>
        </ext>
      </extLst>
    </cfRule>
    <cfRule type="dataBar" priority="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{89409B49-A250-4B2A-B61A-485581A667F5}</x14:id>
        </ext>
      </extLst>
    </cfRule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{1C156F48-A212-496D-9B88-A65E00CC9030}</x14:id>
        </ext>
      </extLst>
    </cfRule>
  </conditionalFormatting>
  <conditionalFormatting sqref="G21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{9B321E32-5902-479A-BB51-C6F2193B24B1}</x14:id>
        </ext>
      </extLst>
    </cfRule>
  </conditionalFormatting>
  <conditionalFormatting sqref="G21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{B0AF4FB9-8783-4E0C-A43A-4938B968243C}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{F17883DD-16FD-459E-BABC-E593826C9FB5}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{E4C98312-92EA-4086-8BAC-9360673A1994}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676303-A72A-4BEC-B755-F770330EEE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G10:G20 G22:G31</xm:sqref>
        </x14:conditionalFormatting>
        <x14:conditionalFormatting xmlns:xm="http://schemas.microsoft.com/office/excel/2006/main">
          <x14:cfRule type="dataBar" id="{9F377557-3D30-4D79-9C85-F1F532ED49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 G20</xm:sqref>
        </x14:conditionalFormatting>
        <x14:conditionalFormatting xmlns:xm="http://schemas.microsoft.com/office/excel/2006/main">
          <x14:cfRule type="dataBar" id="{1E04D632-836C-4C2B-8308-497AB92146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FAF080B2-DA37-4404-BE89-AA409268A8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G28:G31</xm:sqref>
        </x14:conditionalFormatting>
        <x14:conditionalFormatting xmlns:xm="http://schemas.microsoft.com/office/excel/2006/main">
          <x14:cfRule type="dataBar" id="{0148BD55-C866-422F-8014-6F45D1CAF2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F57BB0C8-A9C9-49DE-B3CB-7D0C7BC268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4357D46-0868-4C4A-845B-EF7A8405C1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C1435421-7FA4-4082-B755-ECC9B5672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CEF2DFFD-95C3-46FC-BA4E-52A3A7DF96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084C315-158A-4EAE-807E-0814E9BB29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9409B49-A250-4B2A-B61A-485581A667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C156F48-A212-496D-9B88-A65E00CC90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9B321E32-5902-479A-BB51-C6F2193B24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B0AF4FB9-8783-4E0C-A43A-4938B96824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F17883DD-16FD-459E-BABC-E593826C9F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C98312-92EA-4086-8BAC-9360673A19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9B6C6-AF86-4962-A0C6-4488CB85F784}">
  <sheetPr codeName="Sheet14">
    <pageSetUpPr fitToPage="1"/>
  </sheetPr>
  <dimension ref="A1:L30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9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ROUND(SUM(I3:I41),0)&amp;"+"</f>
        <v>400+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10</v>
      </c>
      <c r="E3" s="12">
        <v>10</v>
      </c>
      <c r="F3" s="29">
        <v>12</v>
      </c>
      <c r="G3" s="30">
        <f>(D3-C3)/(F3-C3)</f>
        <v>0.83333333333333337</v>
      </c>
      <c r="H3" s="29">
        <v>700</v>
      </c>
      <c r="I3" s="31">
        <f>((D3-E3)/F3)*H3</f>
        <v>0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7.6</v>
      </c>
      <c r="E4" s="60">
        <v>7.4</v>
      </c>
      <c r="F4" s="59">
        <v>65</v>
      </c>
      <c r="G4" s="30">
        <f t="shared" ref="G4:G29" si="0">(D4-C4)/(F4-C4)</f>
        <v>0.11692307692307692</v>
      </c>
      <c r="H4" s="29">
        <v>1800</v>
      </c>
      <c r="I4" s="31">
        <f>((D4-E4)/F4)*H4+45</f>
        <v>50.538461538461519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ref="I5:I29" si="1">((D5-E5)/F5)*H5</f>
        <v>0</v>
      </c>
      <c r="J5" s="1" t="s">
        <v>29</v>
      </c>
      <c r="K5" s="6">
        <v>44755</v>
      </c>
      <c r="L5" s="7">
        <v>0.89027777777777783</v>
      </c>
    </row>
    <row r="6" spans="1:12" ht="25" hidden="1" customHeight="1" x14ac:dyDescent="0.3">
      <c r="A6" s="105"/>
      <c r="B6" s="18" t="s">
        <v>44</v>
      </c>
      <c r="C6" s="70">
        <v>5106</v>
      </c>
      <c r="D6" s="71">
        <v>13712</v>
      </c>
      <c r="E6" s="71">
        <v>13000</v>
      </c>
      <c r="F6" s="72">
        <v>13712</v>
      </c>
      <c r="G6" s="30">
        <f t="shared" si="0"/>
        <v>1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2</v>
      </c>
      <c r="F9" s="29">
        <v>8</v>
      </c>
      <c r="G9" s="30">
        <f t="shared" si="0"/>
        <v>0.25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180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0</v>
      </c>
      <c r="E11" s="12">
        <v>0</v>
      </c>
      <c r="F11" s="29">
        <v>38</v>
      </c>
      <c r="G11" s="30">
        <f t="shared" si="0"/>
        <v>0</v>
      </c>
      <c r="H11" s="29">
        <v>6000</v>
      </c>
      <c r="I11" s="31">
        <f t="shared" si="1"/>
        <v>0</v>
      </c>
      <c r="J11" s="1" t="s">
        <v>30</v>
      </c>
      <c r="K11" s="9"/>
      <c r="L11" s="83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11</v>
      </c>
      <c r="E13" s="12">
        <v>10</v>
      </c>
      <c r="F13" s="29">
        <v>12</v>
      </c>
      <c r="G13" s="30">
        <f t="shared" si="0"/>
        <v>0.91666666666666663</v>
      </c>
      <c r="H13" s="29">
        <v>400</v>
      </c>
      <c r="I13" s="31">
        <f t="shared" si="1"/>
        <v>33.333333333333329</v>
      </c>
      <c r="K13" s="112"/>
      <c r="L13" s="112"/>
    </row>
    <row r="14" spans="1:12" ht="25" customHeight="1" x14ac:dyDescent="0.3">
      <c r="A14" s="110"/>
      <c r="B14" s="20" t="s">
        <v>42</v>
      </c>
      <c r="C14" s="11">
        <v>0</v>
      </c>
      <c r="D14" s="12">
        <v>17</v>
      </c>
      <c r="E14" s="12">
        <v>15</v>
      </c>
      <c r="F14" s="29">
        <v>17</v>
      </c>
      <c r="G14" s="30">
        <f t="shared" si="0"/>
        <v>1</v>
      </c>
      <c r="H14" s="29">
        <v>350</v>
      </c>
      <c r="I14" s="31">
        <f t="shared" si="1"/>
        <v>41.176470588235297</v>
      </c>
      <c r="K14" s="83"/>
      <c r="L14" s="83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3"/>
      <c r="L15" s="83"/>
    </row>
    <row r="16" spans="1:12" ht="25" customHeight="1" x14ac:dyDescent="0.3">
      <c r="A16" s="110"/>
      <c r="B16" s="20" t="s">
        <v>46</v>
      </c>
      <c r="C16" s="11">
        <v>0</v>
      </c>
      <c r="D16" s="12">
        <v>144</v>
      </c>
      <c r="E16" s="12">
        <v>144</v>
      </c>
      <c r="F16" s="29">
        <v>495</v>
      </c>
      <c r="G16" s="30">
        <f t="shared" si="0"/>
        <v>0.29090909090909089</v>
      </c>
      <c r="H16" s="29">
        <v>1300</v>
      </c>
      <c r="I16" s="31">
        <f t="shared" si="1"/>
        <v>0</v>
      </c>
      <c r="K16" s="83"/>
      <c r="L16" s="83"/>
    </row>
    <row r="17" spans="1:12" ht="25" customHeight="1" x14ac:dyDescent="0.3">
      <c r="A17" s="110"/>
      <c r="B17" s="20" t="s">
        <v>43</v>
      </c>
      <c r="C17" s="11">
        <v>0</v>
      </c>
      <c r="D17" s="12">
        <v>3</v>
      </c>
      <c r="E17" s="12">
        <v>2</v>
      </c>
      <c r="F17" s="29">
        <v>38</v>
      </c>
      <c r="G17" s="30">
        <f t="shared" si="0"/>
        <v>7.8947368421052627E-2</v>
      </c>
      <c r="H17" s="29">
        <v>2800</v>
      </c>
      <c r="I17" s="31">
        <f t="shared" si="1"/>
        <v>73.68421052631578</v>
      </c>
      <c r="K17" s="83"/>
      <c r="L17" s="83"/>
    </row>
    <row r="18" spans="1:12" ht="25" hidden="1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hidden="1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26</v>
      </c>
      <c r="C21" s="11">
        <v>91</v>
      </c>
      <c r="D21" s="12">
        <v>92</v>
      </c>
      <c r="E21" s="12">
        <v>92</v>
      </c>
      <c r="F21" s="29">
        <v>107</v>
      </c>
      <c r="G21" s="30">
        <f t="shared" si="0"/>
        <v>6.25E-2</v>
      </c>
      <c r="H21" s="29">
        <v>500</v>
      </c>
      <c r="I21" s="31">
        <f>((D21-E21)/(F21-E21))*H21</f>
        <v>0</v>
      </c>
    </row>
    <row r="22" spans="1:12" ht="25" customHeight="1" x14ac:dyDescent="0.3">
      <c r="A22" s="115"/>
      <c r="B22" s="21" t="s">
        <v>33</v>
      </c>
      <c r="C22" s="11">
        <v>0</v>
      </c>
      <c r="D22" s="12">
        <v>1</v>
      </c>
      <c r="E22" s="12">
        <v>1</v>
      </c>
      <c r="F22" s="29">
        <v>28</v>
      </c>
      <c r="G22" s="30">
        <f t="shared" si="0"/>
        <v>3.5714285714285712E-2</v>
      </c>
      <c r="H22" s="29">
        <v>2700</v>
      </c>
      <c r="I22" s="31">
        <f t="shared" si="1"/>
        <v>0</v>
      </c>
    </row>
    <row r="23" spans="1:12" s="39" customFormat="1" ht="5" customHeight="1" x14ac:dyDescent="0.3">
      <c r="A23" s="49"/>
      <c r="B23" s="57"/>
      <c r="C23" s="50"/>
      <c r="D23" s="51"/>
      <c r="E23" s="51"/>
      <c r="F23" s="52"/>
      <c r="G23" s="53"/>
      <c r="H23" s="52"/>
      <c r="I23" s="54"/>
    </row>
    <row r="24" spans="1:12" ht="25" customHeight="1" x14ac:dyDescent="0.3">
      <c r="A24" s="97" t="s">
        <v>22</v>
      </c>
      <c r="B24" s="22" t="s">
        <v>32</v>
      </c>
      <c r="C24" s="11">
        <v>0</v>
      </c>
      <c r="D24" s="12">
        <v>4.0999999999999996</v>
      </c>
      <c r="E24" s="12">
        <v>4.0999999999999996</v>
      </c>
      <c r="F24" s="29">
        <v>28</v>
      </c>
      <c r="G24" s="30">
        <f t="shared" si="0"/>
        <v>0.14642857142857141</v>
      </c>
      <c r="H24" s="29">
        <v>2500</v>
      </c>
      <c r="I24" s="31">
        <f t="shared" si="1"/>
        <v>0</v>
      </c>
    </row>
    <row r="25" spans="1:12" ht="25" hidden="1" customHeight="1" x14ac:dyDescent="0.3">
      <c r="A25" s="98"/>
      <c r="B25" s="22" t="s">
        <v>47</v>
      </c>
      <c r="C25" s="11">
        <v>0</v>
      </c>
      <c r="D25" s="12">
        <v>8</v>
      </c>
      <c r="E25" s="12">
        <v>8</v>
      </c>
      <c r="F25" s="29">
        <v>8</v>
      </c>
      <c r="G25" s="30">
        <f t="shared" si="0"/>
        <v>1</v>
      </c>
      <c r="H25" s="29">
        <v>450</v>
      </c>
      <c r="I25" s="31">
        <f t="shared" si="1"/>
        <v>0</v>
      </c>
    </row>
    <row r="26" spans="1:12" s="39" customFormat="1" ht="5" customHeight="1" x14ac:dyDescent="0.3">
      <c r="A26" s="49"/>
      <c r="B26" s="58"/>
      <c r="C26" s="50"/>
      <c r="D26" s="51"/>
      <c r="E26" s="51"/>
      <c r="F26" s="52"/>
      <c r="G26" s="53"/>
      <c r="H26" s="52"/>
      <c r="I26" s="54"/>
    </row>
    <row r="27" spans="1:12" ht="25" customHeight="1" x14ac:dyDescent="0.3">
      <c r="A27" s="99" t="s">
        <v>24</v>
      </c>
      <c r="B27" s="23" t="s">
        <v>34</v>
      </c>
      <c r="C27" s="11">
        <v>72</v>
      </c>
      <c r="D27" s="12">
        <v>74</v>
      </c>
      <c r="E27" s="12">
        <v>73</v>
      </c>
      <c r="F27" s="29">
        <v>108</v>
      </c>
      <c r="G27" s="30">
        <f t="shared" si="0"/>
        <v>5.5555555555555552E-2</v>
      </c>
      <c r="H27" s="29">
        <v>750</v>
      </c>
      <c r="I27" s="31">
        <f>((D27-E27)/(F27-E27))*H27</f>
        <v>21.428571428571427</v>
      </c>
      <c r="K27" s="68"/>
    </row>
    <row r="28" spans="1:12" ht="25" hidden="1" customHeight="1" x14ac:dyDescent="0.3">
      <c r="A28" s="100"/>
      <c r="B28" s="23" t="s">
        <v>48</v>
      </c>
      <c r="C28" s="11">
        <v>0</v>
      </c>
      <c r="D28" s="12">
        <v>8</v>
      </c>
      <c r="E28" s="12">
        <v>8</v>
      </c>
      <c r="F28" s="29">
        <v>8</v>
      </c>
      <c r="G28" s="30">
        <f t="shared" si="0"/>
        <v>1</v>
      </c>
      <c r="H28" s="29">
        <v>450</v>
      </c>
      <c r="I28" s="31">
        <f t="shared" si="1"/>
        <v>0</v>
      </c>
    </row>
    <row r="29" spans="1:12" ht="25" customHeight="1" x14ac:dyDescent="0.3">
      <c r="A29" s="101"/>
      <c r="B29" s="24" t="s">
        <v>40</v>
      </c>
      <c r="C29" s="13">
        <v>0</v>
      </c>
      <c r="D29" s="14">
        <v>1</v>
      </c>
      <c r="E29" s="14">
        <v>1</v>
      </c>
      <c r="F29" s="32">
        <v>28</v>
      </c>
      <c r="G29" s="33">
        <f t="shared" si="0"/>
        <v>3.5714285714285712E-2</v>
      </c>
      <c r="H29" s="32">
        <v>2300</v>
      </c>
      <c r="I29" s="34">
        <f t="shared" si="1"/>
        <v>0</v>
      </c>
    </row>
    <row r="30" spans="1:12" s="39" customFormat="1" ht="5" customHeight="1" x14ac:dyDescent="0.3">
      <c r="A30" s="42"/>
      <c r="B30" s="43"/>
      <c r="C30" s="44"/>
      <c r="D30" s="45"/>
      <c r="E30" s="45"/>
      <c r="F30" s="46"/>
      <c r="G30" s="47"/>
      <c r="H30" s="46"/>
      <c r="I30" s="48"/>
    </row>
  </sheetData>
  <mergeCells count="8">
    <mergeCell ref="A24:A25"/>
    <mergeCell ref="A27:A29"/>
    <mergeCell ref="K2:L3"/>
    <mergeCell ref="A3:A6"/>
    <mergeCell ref="A8:A11"/>
    <mergeCell ref="A13:A18"/>
    <mergeCell ref="K13:L13"/>
    <mergeCell ref="A20:A22"/>
  </mergeCells>
  <phoneticPr fontId="1" type="noConversion"/>
  <conditionalFormatting sqref="G3:G6 G8 G10:G30">
    <cfRule type="dataBar" priority="12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{EC67B336-F79A-4C3A-84C5-E3B492F6FFCC}</x14:id>
        </ext>
      </extLst>
    </cfRule>
  </conditionalFormatting>
  <conditionalFormatting sqref="G20:G23">
    <cfRule type="dataBar" priority="11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{CBE34AE6-91B6-4FA5-8C6F-19C27FB55648}</x14:id>
        </ext>
      </extLst>
    </cfRule>
  </conditionalFormatting>
  <conditionalFormatting sqref="G24:G26">
    <cfRule type="dataBar" priority="10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{A8827B4F-332A-4A3D-896D-8A3B41D45679}</x14:id>
        </ext>
      </extLst>
    </cfRule>
  </conditionalFormatting>
  <conditionalFormatting sqref="G27:G30">
    <cfRule type="dataBar" priority="9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{A6C3C883-8AE9-45F9-A0C0-5D394F12DF96}</x14:id>
        </ext>
      </extLst>
    </cfRule>
  </conditionalFormatting>
  <conditionalFormatting sqref="G10:G11 G8">
    <cfRule type="dataBar" priority="6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{03BFCECF-21C5-4411-A745-07719084B13D}</x14:id>
        </ext>
      </extLst>
    </cfRule>
    <cfRule type="dataBar" priority="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{D2BA7B61-03AF-4D3C-982F-8215E8ABD202}</x14:id>
        </ext>
      </extLst>
    </cfRule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{2CF5A106-17A7-43F1-A7F7-37105C90289F}</x14:id>
        </ext>
      </extLst>
    </cfRule>
  </conditionalFormatting>
  <conditionalFormatting sqref="G13:G18">
    <cfRule type="dataBar" priority="5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{8311CEB5-BF26-4B5D-8D17-1FE0A39FD85B}</x14:id>
        </ext>
      </extLst>
    </cfRule>
  </conditionalFormatting>
  <conditionalFormatting sqref="G9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{0461B863-D9BE-499E-856E-F8B0B1BFE267}</x14:id>
        </ext>
      </extLst>
    </cfRule>
  </conditionalFormatting>
  <conditionalFormatting sqref="G9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{7FE6088C-5337-48E3-8D63-C8B7375133BC}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{EF9AFAD8-BD7B-4E8A-869F-A79054B27615}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{6B60A2E9-1813-41E5-9BFE-FE5DB0BC18B0}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67B336-F79A-4C3A-84C5-E3B492F6FF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G10:G30</xm:sqref>
        </x14:conditionalFormatting>
        <x14:conditionalFormatting xmlns:xm="http://schemas.microsoft.com/office/excel/2006/main">
          <x14:cfRule type="dataBar" id="{CBE34AE6-91B6-4FA5-8C6F-19C27FB556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A8827B4F-332A-4A3D-896D-8A3B41D456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G24:G26</xm:sqref>
        </x14:conditionalFormatting>
        <x14:conditionalFormatting xmlns:xm="http://schemas.microsoft.com/office/excel/2006/main">
          <x14:cfRule type="dataBar" id="{A6C3C883-8AE9-45F9-A0C0-5D394F12DF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G27:G30</xm:sqref>
        </x14:conditionalFormatting>
        <x14:conditionalFormatting xmlns:xm="http://schemas.microsoft.com/office/excel/2006/main">
          <x14:cfRule type="dataBar" id="{03BFCECF-21C5-4411-A745-07719084B1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D2BA7B61-03AF-4D3C-982F-8215E8ABD2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F5A106-17A7-43F1-A7F7-37105C9028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8311CEB5-BF26-4B5D-8D17-1FE0A39FD8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0461B863-D9BE-499E-856E-F8B0B1BFE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7FE6088C-5337-48E3-8D63-C8B7375133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EF9AFAD8-BD7B-4E8A-869F-A79054B276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B60A2E9-1813-41E5-9BFE-FE5DB0BC18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E710C-EA8D-4229-99FF-12BA848D34D9}">
  <sheetPr codeName="Sheet11">
    <pageSetUpPr fitToPage="1"/>
  </sheetPr>
  <dimension ref="A1:L30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ROUND(SUM(I3:I41),0)&amp;"+"</f>
        <v>403+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10</v>
      </c>
      <c r="E3" s="12">
        <v>10</v>
      </c>
      <c r="F3" s="29">
        <v>12</v>
      </c>
      <c r="G3" s="30">
        <f>(D3-C3)/(F3-C3)</f>
        <v>0.83333333333333337</v>
      </c>
      <c r="H3" s="29">
        <v>700</v>
      </c>
      <c r="I3" s="31">
        <f>((D3-E3)/F3)*H3</f>
        <v>0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7.4</v>
      </c>
      <c r="E4" s="60">
        <v>7.2</v>
      </c>
      <c r="F4" s="59">
        <v>65</v>
      </c>
      <c r="G4" s="30">
        <f t="shared" ref="G4:G29" si="0">(D4-C4)/(F4-C4)</f>
        <v>0.11384615384615385</v>
      </c>
      <c r="H4" s="29">
        <v>1800</v>
      </c>
      <c r="I4" s="31">
        <f>((D4-E4)/F4)*H4+15</f>
        <v>20.538461538461544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ref="I5:I29" si="1">((D5-E5)/F5)*H5</f>
        <v>0</v>
      </c>
      <c r="J5" s="1" t="s">
        <v>29</v>
      </c>
      <c r="K5" s="6">
        <v>44755</v>
      </c>
      <c r="L5" s="7">
        <v>0.89027777777777783</v>
      </c>
    </row>
    <row r="6" spans="1:12" ht="25" customHeight="1" x14ac:dyDescent="0.3">
      <c r="A6" s="105"/>
      <c r="B6" s="18" t="s">
        <v>44</v>
      </c>
      <c r="C6" s="70">
        <v>5106</v>
      </c>
      <c r="D6" s="71">
        <v>13000</v>
      </c>
      <c r="E6" s="71">
        <v>11000</v>
      </c>
      <c r="F6" s="72">
        <v>13712</v>
      </c>
      <c r="G6" s="30">
        <f t="shared" si="0"/>
        <v>0.91726702300720431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2</v>
      </c>
      <c r="E9" s="12">
        <v>1</v>
      </c>
      <c r="F9" s="29">
        <v>8</v>
      </c>
      <c r="G9" s="30">
        <f t="shared" si="0"/>
        <v>0.25</v>
      </c>
      <c r="H9" s="29">
        <v>500</v>
      </c>
      <c r="I9" s="31">
        <f t="shared" si="1"/>
        <v>62.5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25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0</v>
      </c>
      <c r="E11" s="12">
        <v>0</v>
      </c>
      <c r="F11" s="29">
        <v>38</v>
      </c>
      <c r="G11" s="30">
        <f t="shared" si="0"/>
        <v>0</v>
      </c>
      <c r="H11" s="29">
        <v>6000</v>
      </c>
      <c r="I11" s="31">
        <f t="shared" si="1"/>
        <v>0</v>
      </c>
      <c r="J11" s="1" t="s">
        <v>30</v>
      </c>
      <c r="K11" s="9"/>
      <c r="L11" s="81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42</v>
      </c>
      <c r="C14" s="11">
        <v>0</v>
      </c>
      <c r="D14" s="12">
        <v>15</v>
      </c>
      <c r="E14" s="12">
        <v>13</v>
      </c>
      <c r="F14" s="29">
        <v>17</v>
      </c>
      <c r="G14" s="30">
        <f t="shared" si="0"/>
        <v>0.88235294117647056</v>
      </c>
      <c r="H14" s="29">
        <v>350</v>
      </c>
      <c r="I14" s="31">
        <f t="shared" si="1"/>
        <v>41.176470588235297</v>
      </c>
      <c r="K14" s="81"/>
      <c r="L14" s="81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1"/>
      <c r="L15" s="81"/>
    </row>
    <row r="16" spans="1:12" ht="25" customHeight="1" x14ac:dyDescent="0.3">
      <c r="A16" s="110"/>
      <c r="B16" s="20" t="s">
        <v>46</v>
      </c>
      <c r="C16" s="11">
        <v>0</v>
      </c>
      <c r="D16" s="12">
        <v>144</v>
      </c>
      <c r="E16" s="12">
        <v>120</v>
      </c>
      <c r="F16" s="29">
        <v>495</v>
      </c>
      <c r="G16" s="30">
        <f t="shared" si="0"/>
        <v>0.29090909090909089</v>
      </c>
      <c r="H16" s="29">
        <v>1300</v>
      </c>
      <c r="I16" s="31">
        <f t="shared" si="1"/>
        <v>63.030303030303031</v>
      </c>
      <c r="K16" s="81"/>
      <c r="L16" s="81"/>
    </row>
    <row r="17" spans="1:12" ht="25" customHeight="1" x14ac:dyDescent="0.3">
      <c r="A17" s="110"/>
      <c r="B17" s="20" t="s">
        <v>43</v>
      </c>
      <c r="C17" s="11">
        <v>0</v>
      </c>
      <c r="D17" s="12">
        <v>2</v>
      </c>
      <c r="E17" s="12">
        <v>1</v>
      </c>
      <c r="F17" s="29">
        <v>38</v>
      </c>
      <c r="G17" s="30">
        <f t="shared" si="0"/>
        <v>5.2631578947368418E-2</v>
      </c>
      <c r="H17" s="29">
        <v>2800</v>
      </c>
      <c r="I17" s="31">
        <f t="shared" si="1"/>
        <v>73.68421052631578</v>
      </c>
      <c r="K17" s="81"/>
      <c r="L17" s="81"/>
    </row>
    <row r="18" spans="1:12" ht="25" customHeight="1" x14ac:dyDescent="0.3">
      <c r="A18" s="111"/>
      <c r="B18" s="20" t="s">
        <v>18</v>
      </c>
      <c r="C18" s="11">
        <v>0</v>
      </c>
      <c r="D18" s="12">
        <v>31</v>
      </c>
      <c r="E18" s="12">
        <v>31</v>
      </c>
      <c r="F18" s="29">
        <v>31</v>
      </c>
      <c r="G18" s="30">
        <f t="shared" si="0"/>
        <v>1</v>
      </c>
      <c r="H18" s="29">
        <v>230</v>
      </c>
      <c r="I18" s="31">
        <f t="shared" si="1"/>
        <v>0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26</v>
      </c>
      <c r="C21" s="11">
        <v>91</v>
      </c>
      <c r="D21" s="12">
        <v>92</v>
      </c>
      <c r="E21" s="12">
        <v>92</v>
      </c>
      <c r="F21" s="29">
        <v>107</v>
      </c>
      <c r="G21" s="30">
        <f t="shared" si="0"/>
        <v>6.25E-2</v>
      </c>
      <c r="H21" s="29">
        <v>500</v>
      </c>
      <c r="I21" s="31">
        <f>((D21-E21)/(F21-E21))*H21</f>
        <v>0</v>
      </c>
    </row>
    <row r="22" spans="1:12" ht="25" customHeight="1" x14ac:dyDescent="0.3">
      <c r="A22" s="115"/>
      <c r="B22" s="21" t="s">
        <v>33</v>
      </c>
      <c r="C22" s="11">
        <v>0</v>
      </c>
      <c r="D22" s="12">
        <v>1</v>
      </c>
      <c r="E22" s="12">
        <v>0</v>
      </c>
      <c r="F22" s="29">
        <v>28</v>
      </c>
      <c r="G22" s="30">
        <f t="shared" si="0"/>
        <v>3.5714285714285712E-2</v>
      </c>
      <c r="H22" s="29">
        <v>2700</v>
      </c>
      <c r="I22" s="31">
        <f t="shared" si="1"/>
        <v>96.428571428571416</v>
      </c>
    </row>
    <row r="23" spans="1:12" s="39" customFormat="1" ht="5" customHeight="1" x14ac:dyDescent="0.3">
      <c r="A23" s="49"/>
      <c r="B23" s="57"/>
      <c r="C23" s="50"/>
      <c r="D23" s="51"/>
      <c r="E23" s="51"/>
      <c r="F23" s="52"/>
      <c r="G23" s="53"/>
      <c r="H23" s="52"/>
      <c r="I23" s="54"/>
    </row>
    <row r="24" spans="1:12" ht="25" customHeight="1" x14ac:dyDescent="0.3">
      <c r="A24" s="97" t="s">
        <v>22</v>
      </c>
      <c r="B24" s="22" t="s">
        <v>32</v>
      </c>
      <c r="C24" s="11">
        <v>0</v>
      </c>
      <c r="D24" s="12">
        <v>4.0999999999999996</v>
      </c>
      <c r="E24" s="12">
        <v>4.0999999999999996</v>
      </c>
      <c r="F24" s="29">
        <v>28</v>
      </c>
      <c r="G24" s="30">
        <f t="shared" si="0"/>
        <v>0.14642857142857141</v>
      </c>
      <c r="H24" s="29">
        <v>2500</v>
      </c>
      <c r="I24" s="31">
        <f t="shared" si="1"/>
        <v>0</v>
      </c>
    </row>
    <row r="25" spans="1:12" ht="25" customHeight="1" x14ac:dyDescent="0.3">
      <c r="A25" s="98"/>
      <c r="B25" s="22" t="s">
        <v>47</v>
      </c>
      <c r="C25" s="11">
        <v>0</v>
      </c>
      <c r="D25" s="12">
        <v>8</v>
      </c>
      <c r="E25" s="12">
        <v>8</v>
      </c>
      <c r="F25" s="29">
        <v>8</v>
      </c>
      <c r="G25" s="30">
        <f t="shared" si="0"/>
        <v>1</v>
      </c>
      <c r="H25" s="29">
        <v>450</v>
      </c>
      <c r="I25" s="31">
        <f t="shared" si="1"/>
        <v>0</v>
      </c>
    </row>
    <row r="26" spans="1:12" s="39" customFormat="1" ht="5" customHeight="1" x14ac:dyDescent="0.3">
      <c r="A26" s="49"/>
      <c r="B26" s="58"/>
      <c r="C26" s="50"/>
      <c r="D26" s="51"/>
      <c r="E26" s="51"/>
      <c r="F26" s="52"/>
      <c r="G26" s="53"/>
      <c r="H26" s="52"/>
      <c r="I26" s="54"/>
    </row>
    <row r="27" spans="1:12" ht="25" customHeight="1" x14ac:dyDescent="0.3">
      <c r="A27" s="99" t="s">
        <v>24</v>
      </c>
      <c r="B27" s="23" t="s">
        <v>34</v>
      </c>
      <c r="C27" s="11">
        <v>72</v>
      </c>
      <c r="D27" s="12">
        <v>73</v>
      </c>
      <c r="E27" s="12">
        <v>72</v>
      </c>
      <c r="F27" s="29">
        <v>108</v>
      </c>
      <c r="G27" s="30">
        <f t="shared" si="0"/>
        <v>2.7777777777777776E-2</v>
      </c>
      <c r="H27" s="29">
        <v>750</v>
      </c>
      <c r="I27" s="31">
        <f>((D27-E27)/(F27-E27))*H27</f>
        <v>20.833333333333332</v>
      </c>
      <c r="K27" s="68"/>
    </row>
    <row r="28" spans="1:12" ht="25" customHeight="1" x14ac:dyDescent="0.3">
      <c r="A28" s="100"/>
      <c r="B28" s="23" t="s">
        <v>48</v>
      </c>
      <c r="C28" s="11">
        <v>0</v>
      </c>
      <c r="D28" s="12">
        <v>8</v>
      </c>
      <c r="E28" s="12">
        <v>8</v>
      </c>
      <c r="F28" s="29">
        <v>8</v>
      </c>
      <c r="G28" s="30">
        <f t="shared" si="0"/>
        <v>1</v>
      </c>
      <c r="H28" s="29">
        <v>450</v>
      </c>
      <c r="I28" s="31">
        <f t="shared" si="1"/>
        <v>0</v>
      </c>
    </row>
    <row r="29" spans="1:12" ht="25" customHeight="1" x14ac:dyDescent="0.3">
      <c r="A29" s="101"/>
      <c r="B29" s="24" t="s">
        <v>40</v>
      </c>
      <c r="C29" s="13">
        <v>0</v>
      </c>
      <c r="D29" s="14">
        <v>1</v>
      </c>
      <c r="E29" s="14">
        <v>1</v>
      </c>
      <c r="F29" s="32">
        <v>28</v>
      </c>
      <c r="G29" s="33">
        <f t="shared" si="0"/>
        <v>3.5714285714285712E-2</v>
      </c>
      <c r="H29" s="32">
        <v>2300</v>
      </c>
      <c r="I29" s="34">
        <f t="shared" si="1"/>
        <v>0</v>
      </c>
    </row>
    <row r="30" spans="1:12" s="39" customFormat="1" ht="5" customHeight="1" x14ac:dyDescent="0.3">
      <c r="A30" s="42"/>
      <c r="B30" s="43"/>
      <c r="C30" s="44"/>
      <c r="D30" s="45"/>
      <c r="E30" s="45"/>
      <c r="F30" s="46"/>
      <c r="G30" s="47"/>
      <c r="H30" s="46"/>
      <c r="I30" s="48"/>
    </row>
  </sheetData>
  <mergeCells count="8">
    <mergeCell ref="A24:A25"/>
    <mergeCell ref="A27:A29"/>
    <mergeCell ref="K2:L3"/>
    <mergeCell ref="A3:A6"/>
    <mergeCell ref="A8:A11"/>
    <mergeCell ref="A13:A18"/>
    <mergeCell ref="K13:L13"/>
    <mergeCell ref="A20:A22"/>
  </mergeCells>
  <phoneticPr fontId="1" type="noConversion"/>
  <conditionalFormatting sqref="G3:G6 G8 G10:G30">
    <cfRule type="dataBar" priority="12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{DDB3AFE9-E458-4DB4-819D-73228E0BAB9C}</x14:id>
        </ext>
      </extLst>
    </cfRule>
  </conditionalFormatting>
  <conditionalFormatting sqref="G20:G23">
    <cfRule type="dataBar" priority="11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{A0482F74-3161-4BD7-928E-6B1054941410}</x14:id>
        </ext>
      </extLst>
    </cfRule>
  </conditionalFormatting>
  <conditionalFormatting sqref="G24:G26">
    <cfRule type="dataBar" priority="10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{BC54EC16-05EC-44E0-9865-626699E0F33F}</x14:id>
        </ext>
      </extLst>
    </cfRule>
  </conditionalFormatting>
  <conditionalFormatting sqref="G27:G30">
    <cfRule type="dataBar" priority="9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{AF994F35-4FDA-4C7C-9102-AE894EB90539}</x14:id>
        </ext>
      </extLst>
    </cfRule>
  </conditionalFormatting>
  <conditionalFormatting sqref="G10:G11 G8">
    <cfRule type="dataBar" priority="6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{1B3EE750-20AB-4D4D-A9AB-91F2AA8410BB}</x14:id>
        </ext>
      </extLst>
    </cfRule>
    <cfRule type="dataBar" priority="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{1C11647C-02E8-4603-905B-D18778172CE4}</x14:id>
        </ext>
      </extLst>
    </cfRule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{B7E4ED09-8428-498A-9447-DEDB346DE8F9}</x14:id>
        </ext>
      </extLst>
    </cfRule>
  </conditionalFormatting>
  <conditionalFormatting sqref="G13:G18">
    <cfRule type="dataBar" priority="5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{211FD261-F7ED-4ACC-8D8B-AD0D3AF55A9A}</x14:id>
        </ext>
      </extLst>
    </cfRule>
  </conditionalFormatting>
  <conditionalFormatting sqref="G9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{70B14C69-3ABD-4BA3-9B3A-2A5303B2029A}</x14:id>
        </ext>
      </extLst>
    </cfRule>
  </conditionalFormatting>
  <conditionalFormatting sqref="G9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{7EB19C49-1BE4-4984-9BCF-26BDE04185D4}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{CBEB2225-2A0A-4FC1-A148-017D5EF21000}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{B9A9E561-E692-48EC-B3CB-E34580B5DDD0}</x14:id>
        </ext>
      </extLst>
    </cfRule>
  </conditionalFormatting>
  <pageMargins left="0.7" right="0.7" top="0.75" bottom="0.75" header="0.3" footer="0.3"/>
  <pageSetup paperSize="9" scale="59" orientation="landscape" verticalDpi="0" r:id="rId1"/>
  <ignoredErrors>
    <ignoredError sqref="I21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B3AFE9-E458-4DB4-819D-73228E0BAB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G10:G30</xm:sqref>
        </x14:conditionalFormatting>
        <x14:conditionalFormatting xmlns:xm="http://schemas.microsoft.com/office/excel/2006/main">
          <x14:cfRule type="dataBar" id="{A0482F74-3161-4BD7-928E-6B10549414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BC54EC16-05EC-44E0-9865-626699E0F3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G24:G26</xm:sqref>
        </x14:conditionalFormatting>
        <x14:conditionalFormatting xmlns:xm="http://schemas.microsoft.com/office/excel/2006/main">
          <x14:cfRule type="dataBar" id="{AF994F35-4FDA-4C7C-9102-AE894EB905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G27:G30</xm:sqref>
        </x14:conditionalFormatting>
        <x14:conditionalFormatting xmlns:xm="http://schemas.microsoft.com/office/excel/2006/main">
          <x14:cfRule type="dataBar" id="{1B3EE750-20AB-4D4D-A9AB-91F2AA8410B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1C11647C-02E8-4603-905B-D18778172C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7E4ED09-8428-498A-9447-DEDB346DE8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211FD261-F7ED-4ACC-8D8B-AD0D3AF55A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70B14C69-3ABD-4BA3-9B3A-2A5303B20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7EB19C49-1BE4-4984-9BCF-26BDE04185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BEB2225-2A0A-4FC1-A148-017D5EF210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9A9E561-E692-48EC-B3CB-E34580B5DD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BFF6-F4F2-488F-8887-C2B4BBD99F04}">
  <sheetPr codeName="Sheet10">
    <pageSetUpPr fitToPage="1"/>
  </sheetPr>
  <dimension ref="A1:L30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ROUND(SUM(I3:I41),0)&amp;"+"</f>
        <v>242+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10</v>
      </c>
      <c r="E3" s="12">
        <v>9.5</v>
      </c>
      <c r="F3" s="29">
        <v>12</v>
      </c>
      <c r="G3" s="30">
        <f>(D3-C3)/(F3-C3)</f>
        <v>0.83333333333333337</v>
      </c>
      <c r="H3" s="29">
        <v>700</v>
      </c>
      <c r="I3" s="31">
        <f>((D3-E3)/F3)*H3</f>
        <v>29.166666666666664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7.2</v>
      </c>
      <c r="E4" s="60">
        <v>7.2</v>
      </c>
      <c r="F4" s="59">
        <v>65</v>
      </c>
      <c r="G4" s="30">
        <f t="shared" ref="G4:G29" si="0">(D4-C4)/(F4-C4)</f>
        <v>0.11076923076923077</v>
      </c>
      <c r="H4" s="29">
        <v>1800</v>
      </c>
      <c r="I4" s="31">
        <f>((D4-E4)/F4)*H4</f>
        <v>0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ref="I5:I29" si="1">((D5-E5)/F5)*H5</f>
        <v>0</v>
      </c>
      <c r="J5" s="1" t="s">
        <v>29</v>
      </c>
      <c r="K5" s="6">
        <v>44754</v>
      </c>
      <c r="L5" s="7">
        <v>0.85972222222222217</v>
      </c>
    </row>
    <row r="6" spans="1:12" ht="25" customHeight="1" x14ac:dyDescent="0.3">
      <c r="A6" s="105"/>
      <c r="B6" s="18" t="s">
        <v>44</v>
      </c>
      <c r="C6" s="70">
        <v>5106</v>
      </c>
      <c r="D6" s="71">
        <v>11000</v>
      </c>
      <c r="E6" s="71">
        <v>9000</v>
      </c>
      <c r="F6" s="72">
        <v>13712</v>
      </c>
      <c r="G6" s="30">
        <f t="shared" si="0"/>
        <v>0.68487102021845225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1</v>
      </c>
      <c r="E9" s="12">
        <v>0</v>
      </c>
      <c r="F9" s="29">
        <v>8</v>
      </c>
      <c r="G9" s="30">
        <f t="shared" si="0"/>
        <v>0.125</v>
      </c>
      <c r="H9" s="29">
        <v>500</v>
      </c>
      <c r="I9" s="31">
        <f t="shared" si="1"/>
        <v>62.5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0</v>
      </c>
      <c r="E11" s="12">
        <v>0</v>
      </c>
      <c r="F11" s="29">
        <v>38</v>
      </c>
      <c r="G11" s="30">
        <f t="shared" si="0"/>
        <v>0</v>
      </c>
      <c r="H11" s="29">
        <v>6000</v>
      </c>
      <c r="I11" s="31">
        <f t="shared" si="1"/>
        <v>0</v>
      </c>
      <c r="J11" s="1" t="s">
        <v>30</v>
      </c>
      <c r="K11" s="9"/>
      <c r="L11" s="80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42</v>
      </c>
      <c r="C14" s="11">
        <v>0</v>
      </c>
      <c r="D14" s="12">
        <v>13</v>
      </c>
      <c r="E14" s="12">
        <v>11</v>
      </c>
      <c r="F14" s="29">
        <v>17</v>
      </c>
      <c r="G14" s="30">
        <f t="shared" si="0"/>
        <v>0.76470588235294112</v>
      </c>
      <c r="H14" s="29">
        <v>350</v>
      </c>
      <c r="I14" s="31">
        <f t="shared" si="1"/>
        <v>41.176470588235297</v>
      </c>
      <c r="K14" s="80"/>
      <c r="L14" s="80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80"/>
      <c r="L15" s="80"/>
    </row>
    <row r="16" spans="1:12" ht="25" customHeight="1" x14ac:dyDescent="0.3">
      <c r="A16" s="110"/>
      <c r="B16" s="20" t="s">
        <v>46</v>
      </c>
      <c r="C16" s="11">
        <v>0</v>
      </c>
      <c r="D16" s="12">
        <v>120</v>
      </c>
      <c r="E16" s="12">
        <v>100</v>
      </c>
      <c r="F16" s="29">
        <v>495</v>
      </c>
      <c r="G16" s="30">
        <f t="shared" si="0"/>
        <v>0.24242424242424243</v>
      </c>
      <c r="H16" s="29">
        <v>1300</v>
      </c>
      <c r="I16" s="31">
        <f t="shared" si="1"/>
        <v>52.525252525252533</v>
      </c>
      <c r="K16" s="80"/>
      <c r="L16" s="80"/>
    </row>
    <row r="17" spans="1:12" ht="25" customHeight="1" x14ac:dyDescent="0.3">
      <c r="A17" s="110"/>
      <c r="B17" s="20" t="s">
        <v>43</v>
      </c>
      <c r="C17" s="11">
        <v>0</v>
      </c>
      <c r="D17" s="12">
        <v>1</v>
      </c>
      <c r="E17" s="12">
        <v>1</v>
      </c>
      <c r="F17" s="29">
        <v>38</v>
      </c>
      <c r="G17" s="30">
        <f t="shared" si="0"/>
        <v>2.6315789473684209E-2</v>
      </c>
      <c r="H17" s="29">
        <v>2800</v>
      </c>
      <c r="I17" s="31">
        <f t="shared" si="1"/>
        <v>0</v>
      </c>
      <c r="K17" s="80"/>
      <c r="L17" s="80"/>
    </row>
    <row r="18" spans="1:12" ht="25" customHeight="1" x14ac:dyDescent="0.3">
      <c r="A18" s="111"/>
      <c r="B18" s="20" t="s">
        <v>18</v>
      </c>
      <c r="C18" s="11">
        <v>0</v>
      </c>
      <c r="D18" s="12">
        <v>31</v>
      </c>
      <c r="E18" s="12">
        <v>24</v>
      </c>
      <c r="F18" s="29">
        <v>31</v>
      </c>
      <c r="G18" s="30">
        <f t="shared" si="0"/>
        <v>1</v>
      </c>
      <c r="H18" s="29">
        <v>230</v>
      </c>
      <c r="I18" s="31">
        <f t="shared" si="1"/>
        <v>51.935483870967744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10</v>
      </c>
      <c r="F20" s="29">
        <v>10</v>
      </c>
      <c r="G20" s="30">
        <f t="shared" si="0"/>
        <v>1</v>
      </c>
      <c r="H20" s="29">
        <v>550</v>
      </c>
      <c r="I20" s="31">
        <f t="shared" si="1"/>
        <v>0</v>
      </c>
    </row>
    <row r="21" spans="1:12" ht="25" customHeight="1" x14ac:dyDescent="0.3">
      <c r="A21" s="114"/>
      <c r="B21" s="21" t="s">
        <v>26</v>
      </c>
      <c r="C21" s="11">
        <v>91</v>
      </c>
      <c r="D21" s="12">
        <v>92</v>
      </c>
      <c r="E21" s="12">
        <v>91</v>
      </c>
      <c r="F21" s="29">
        <v>107</v>
      </c>
      <c r="G21" s="30">
        <f t="shared" si="0"/>
        <v>6.25E-2</v>
      </c>
      <c r="H21" s="29">
        <v>500</v>
      </c>
      <c r="I21" s="31">
        <f t="shared" si="1"/>
        <v>4.6728971962616823</v>
      </c>
    </row>
    <row r="22" spans="1:12" ht="25" customHeight="1" x14ac:dyDescent="0.3">
      <c r="A22" s="115"/>
      <c r="B22" s="21" t="s">
        <v>33</v>
      </c>
      <c r="C22" s="11">
        <v>0</v>
      </c>
      <c r="D22" s="12">
        <v>0</v>
      </c>
      <c r="E22" s="12">
        <v>0</v>
      </c>
      <c r="F22" s="29">
        <v>28</v>
      </c>
      <c r="G22" s="30">
        <f t="shared" si="0"/>
        <v>0</v>
      </c>
      <c r="H22" s="29">
        <v>2700</v>
      </c>
      <c r="I22" s="31">
        <f t="shared" si="1"/>
        <v>0</v>
      </c>
    </row>
    <row r="23" spans="1:12" s="39" customFormat="1" ht="5" customHeight="1" x14ac:dyDescent="0.3">
      <c r="A23" s="49"/>
      <c r="B23" s="57"/>
      <c r="C23" s="50"/>
      <c r="D23" s="51"/>
      <c r="E23" s="51"/>
      <c r="F23" s="52"/>
      <c r="G23" s="53"/>
      <c r="H23" s="52"/>
      <c r="I23" s="54"/>
    </row>
    <row r="24" spans="1:12" ht="25" customHeight="1" x14ac:dyDescent="0.3">
      <c r="A24" s="97" t="s">
        <v>22</v>
      </c>
      <c r="B24" s="22" t="s">
        <v>32</v>
      </c>
      <c r="C24" s="11">
        <v>0</v>
      </c>
      <c r="D24" s="12">
        <v>4.0999999999999996</v>
      </c>
      <c r="E24" s="12">
        <v>4.0999999999999996</v>
      </c>
      <c r="F24" s="29">
        <v>28</v>
      </c>
      <c r="G24" s="30">
        <f t="shared" si="0"/>
        <v>0.14642857142857141</v>
      </c>
      <c r="H24" s="29">
        <v>2500</v>
      </c>
      <c r="I24" s="31">
        <f t="shared" si="1"/>
        <v>0</v>
      </c>
    </row>
    <row r="25" spans="1:12" ht="25" customHeight="1" x14ac:dyDescent="0.3">
      <c r="A25" s="98"/>
      <c r="B25" s="22" t="s">
        <v>47</v>
      </c>
      <c r="C25" s="11">
        <v>0</v>
      </c>
      <c r="D25" s="12">
        <v>8</v>
      </c>
      <c r="E25" s="12">
        <v>8</v>
      </c>
      <c r="F25" s="29">
        <v>8</v>
      </c>
      <c r="G25" s="30">
        <f t="shared" si="0"/>
        <v>1</v>
      </c>
      <c r="H25" s="29">
        <v>450</v>
      </c>
      <c r="I25" s="31">
        <f t="shared" si="1"/>
        <v>0</v>
      </c>
    </row>
    <row r="26" spans="1:12" s="39" customFormat="1" ht="5" customHeight="1" x14ac:dyDescent="0.3">
      <c r="A26" s="49"/>
      <c r="B26" s="58"/>
      <c r="C26" s="50"/>
      <c r="D26" s="51"/>
      <c r="E26" s="51"/>
      <c r="F26" s="52"/>
      <c r="G26" s="53"/>
      <c r="H26" s="52"/>
      <c r="I26" s="54"/>
    </row>
    <row r="27" spans="1:12" ht="25" customHeight="1" x14ac:dyDescent="0.3">
      <c r="A27" s="99" t="s">
        <v>24</v>
      </c>
      <c r="B27" s="23" t="s">
        <v>34</v>
      </c>
      <c r="C27" s="11">
        <v>72</v>
      </c>
      <c r="D27" s="12">
        <v>72</v>
      </c>
      <c r="E27" s="12">
        <v>72</v>
      </c>
      <c r="F27" s="29">
        <v>103</v>
      </c>
      <c r="G27" s="30">
        <f t="shared" si="0"/>
        <v>0</v>
      </c>
      <c r="H27" s="29">
        <v>630</v>
      </c>
      <c r="I27" s="31">
        <f t="shared" si="1"/>
        <v>0</v>
      </c>
      <c r="K27" s="68"/>
    </row>
    <row r="28" spans="1:12" ht="25" customHeight="1" x14ac:dyDescent="0.3">
      <c r="A28" s="100"/>
      <c r="B28" s="23" t="s">
        <v>48</v>
      </c>
      <c r="C28" s="11">
        <v>0</v>
      </c>
      <c r="D28" s="12">
        <v>8</v>
      </c>
      <c r="E28" s="12">
        <v>8</v>
      </c>
      <c r="F28" s="29">
        <v>8</v>
      </c>
      <c r="G28" s="30">
        <f t="shared" si="0"/>
        <v>1</v>
      </c>
      <c r="H28" s="29">
        <v>450</v>
      </c>
      <c r="I28" s="31">
        <f t="shared" si="1"/>
        <v>0</v>
      </c>
    </row>
    <row r="29" spans="1:12" ht="25" customHeight="1" x14ac:dyDescent="0.3">
      <c r="A29" s="101"/>
      <c r="B29" s="24" t="s">
        <v>40</v>
      </c>
      <c r="C29" s="13">
        <v>0</v>
      </c>
      <c r="D29" s="14">
        <v>1</v>
      </c>
      <c r="E29" s="14">
        <v>1</v>
      </c>
      <c r="F29" s="32">
        <v>28</v>
      </c>
      <c r="G29" s="33">
        <f t="shared" si="0"/>
        <v>3.5714285714285712E-2</v>
      </c>
      <c r="H29" s="32">
        <v>2300</v>
      </c>
      <c r="I29" s="34">
        <f t="shared" si="1"/>
        <v>0</v>
      </c>
    </row>
    <row r="30" spans="1:12" s="39" customFormat="1" ht="5" customHeight="1" x14ac:dyDescent="0.3">
      <c r="A30" s="42"/>
      <c r="B30" s="43"/>
      <c r="C30" s="44"/>
      <c r="D30" s="45"/>
      <c r="E30" s="45"/>
      <c r="F30" s="46"/>
      <c r="G30" s="47"/>
      <c r="H30" s="46"/>
      <c r="I30" s="48"/>
    </row>
  </sheetData>
  <mergeCells count="8">
    <mergeCell ref="A24:A25"/>
    <mergeCell ref="A27:A29"/>
    <mergeCell ref="K2:L3"/>
    <mergeCell ref="A3:A6"/>
    <mergeCell ref="A8:A11"/>
    <mergeCell ref="A13:A18"/>
    <mergeCell ref="K13:L13"/>
    <mergeCell ref="A20:A22"/>
  </mergeCells>
  <phoneticPr fontId="1" type="noConversion"/>
  <conditionalFormatting sqref="G3:G6 G8 G10:G30">
    <cfRule type="dataBar" priority="12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{179437BB-9D2C-4B71-950F-F99A1FAB64C6}</x14:id>
        </ext>
      </extLst>
    </cfRule>
  </conditionalFormatting>
  <conditionalFormatting sqref="G20:G23">
    <cfRule type="dataBar" priority="11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{60639EAE-6325-4F9C-9EED-5FB5ADB0C966}</x14:id>
        </ext>
      </extLst>
    </cfRule>
  </conditionalFormatting>
  <conditionalFormatting sqref="G24:G26">
    <cfRule type="dataBar" priority="10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{DC177CD1-62C3-4743-B7BD-7C72E2CBCA40}</x14:id>
        </ext>
      </extLst>
    </cfRule>
  </conditionalFormatting>
  <conditionalFormatting sqref="G27:G30">
    <cfRule type="dataBar" priority="9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{DD9B8902-BAAE-4FEA-8FF4-A508E4A1D855}</x14:id>
        </ext>
      </extLst>
    </cfRule>
  </conditionalFormatting>
  <conditionalFormatting sqref="G10:G11 G8">
    <cfRule type="dataBar" priority="6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{FA1A27F4-F4DB-49EB-A44D-A13F25AF3FCE}</x14:id>
        </ext>
      </extLst>
    </cfRule>
    <cfRule type="dataBar" priority="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{CEA772C6-9934-485B-931F-6A4940351CF0}</x14:id>
        </ext>
      </extLst>
    </cfRule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{E5C47734-FBBC-4001-A142-5091EC857863}</x14:id>
        </ext>
      </extLst>
    </cfRule>
  </conditionalFormatting>
  <conditionalFormatting sqref="G13:G18">
    <cfRule type="dataBar" priority="5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{226F5836-9135-4764-9523-FD210E0AABB7}</x14:id>
        </ext>
      </extLst>
    </cfRule>
  </conditionalFormatting>
  <conditionalFormatting sqref="G9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{21606DF8-EDFF-4DC0-AA7C-D4ED5D8C8570}</x14:id>
        </ext>
      </extLst>
    </cfRule>
  </conditionalFormatting>
  <conditionalFormatting sqref="G9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{8CB6BCC3-94BD-49C3-99AD-95D9B8897873}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{020093D1-F1A7-47A4-BB36-9FAAE383AEC4}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{C36CDACD-3FEB-4D84-B3E9-77B29C8DD690}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9437BB-9D2C-4B71-950F-F99A1FAB64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G10:G30</xm:sqref>
        </x14:conditionalFormatting>
        <x14:conditionalFormatting xmlns:xm="http://schemas.microsoft.com/office/excel/2006/main">
          <x14:cfRule type="dataBar" id="{60639EAE-6325-4F9C-9EED-5FB5ADB0C9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DC177CD1-62C3-4743-B7BD-7C72E2CBCA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G24:G26</xm:sqref>
        </x14:conditionalFormatting>
        <x14:conditionalFormatting xmlns:xm="http://schemas.microsoft.com/office/excel/2006/main">
          <x14:cfRule type="dataBar" id="{DD9B8902-BAAE-4FEA-8FF4-A508E4A1D8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G27:G30</xm:sqref>
        </x14:conditionalFormatting>
        <x14:conditionalFormatting xmlns:xm="http://schemas.microsoft.com/office/excel/2006/main">
          <x14:cfRule type="dataBar" id="{FA1A27F4-F4DB-49EB-A44D-A13F25AF3F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EA772C6-9934-485B-931F-6A4940351C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C47734-FBBC-4001-A142-5091EC8578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226F5836-9135-4764-9523-FD210E0AAB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21606DF8-EDFF-4DC0-AA7C-D4ED5D8C85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8CB6BCC3-94BD-49C3-99AD-95D9B88978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020093D1-F1A7-47A4-BB36-9FAAE383AE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36CDACD-3FEB-4D84-B3E9-77B29C8DD6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B084A-B10C-4798-96EE-941A180A3571}">
  <sheetPr codeName="Sheet9">
    <pageSetUpPr fitToPage="1"/>
  </sheetPr>
  <dimension ref="A1:L30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ROUND(SUM(I3:I41),0)&amp;"+"</f>
        <v>463+</v>
      </c>
      <c r="L2" s="116"/>
    </row>
    <row r="3" spans="1:12" ht="25" customHeight="1" x14ac:dyDescent="0.3">
      <c r="A3" s="103" t="s">
        <v>7</v>
      </c>
      <c r="B3" s="18" t="s">
        <v>50</v>
      </c>
      <c r="C3" s="11">
        <v>0</v>
      </c>
      <c r="D3" s="12">
        <v>9.5</v>
      </c>
      <c r="E3" s="12">
        <v>8.5</v>
      </c>
      <c r="F3" s="29">
        <v>12</v>
      </c>
      <c r="G3" s="30">
        <f>(D3-C3)/(F3-C3)</f>
        <v>0.79166666666666663</v>
      </c>
      <c r="H3" s="29">
        <v>700</v>
      </c>
      <c r="I3" s="31">
        <f>((D3-E3)/F3)*H3</f>
        <v>58.333333333333329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7.2</v>
      </c>
      <c r="E4" s="60">
        <v>7</v>
      </c>
      <c r="F4" s="59">
        <v>65</v>
      </c>
      <c r="G4" s="30">
        <f t="shared" ref="G4:G29" si="0">(D4-C4)/(F4-C4)</f>
        <v>0.11076923076923077</v>
      </c>
      <c r="H4" s="29">
        <v>1800</v>
      </c>
      <c r="I4" s="31">
        <f>((D4-E4)/F4)*H4+30</f>
        <v>35.53846153846154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ref="I5:I29" si="1">((D5-E5)/F5)*H5</f>
        <v>0</v>
      </c>
      <c r="J5" s="1" t="s">
        <v>29</v>
      </c>
      <c r="K5" s="6">
        <v>44753</v>
      </c>
      <c r="L5" s="7">
        <v>0.89027777777777783</v>
      </c>
    </row>
    <row r="6" spans="1:12" ht="25" customHeight="1" x14ac:dyDescent="0.3">
      <c r="A6" s="105"/>
      <c r="B6" s="18" t="s">
        <v>44</v>
      </c>
      <c r="C6" s="70">
        <v>5106</v>
      </c>
      <c r="D6" s="71">
        <v>9000</v>
      </c>
      <c r="E6" s="71">
        <v>8400</v>
      </c>
      <c r="F6" s="72">
        <v>13712</v>
      </c>
      <c r="G6" s="30">
        <f t="shared" si="0"/>
        <v>0.4524750174297002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0</v>
      </c>
      <c r="E9" s="12">
        <v>0</v>
      </c>
      <c r="F9" s="29">
        <v>8</v>
      </c>
      <c r="G9" s="30">
        <f t="shared" si="0"/>
        <v>0</v>
      </c>
      <c r="H9" s="29">
        <v>500</v>
      </c>
      <c r="I9" s="31">
        <f t="shared" si="1"/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0</v>
      </c>
      <c r="E11" s="12">
        <v>0</v>
      </c>
      <c r="F11" s="29">
        <v>38</v>
      </c>
      <c r="G11" s="30">
        <f t="shared" si="0"/>
        <v>0</v>
      </c>
      <c r="H11" s="29">
        <v>6000</v>
      </c>
      <c r="I11" s="31">
        <f t="shared" si="1"/>
        <v>0</v>
      </c>
      <c r="J11" s="1" t="s">
        <v>30</v>
      </c>
      <c r="K11" s="9"/>
      <c r="L11" s="79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10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0</v>
      </c>
      <c r="K13" s="112"/>
      <c r="L13" s="112"/>
    </row>
    <row r="14" spans="1:12" ht="25" customHeight="1" x14ac:dyDescent="0.3">
      <c r="A14" s="110"/>
      <c r="B14" s="20" t="s">
        <v>42</v>
      </c>
      <c r="C14" s="11">
        <v>0</v>
      </c>
      <c r="D14" s="12">
        <v>11</v>
      </c>
      <c r="E14" s="12">
        <v>9</v>
      </c>
      <c r="F14" s="29">
        <v>17</v>
      </c>
      <c r="G14" s="30">
        <f t="shared" si="0"/>
        <v>0.6470588235294118</v>
      </c>
      <c r="H14" s="29">
        <v>350</v>
      </c>
      <c r="I14" s="31">
        <f t="shared" si="1"/>
        <v>41.176470588235297</v>
      </c>
      <c r="K14" s="79"/>
      <c r="L14" s="79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79"/>
      <c r="L15" s="79"/>
    </row>
    <row r="16" spans="1:12" ht="25" customHeight="1" x14ac:dyDescent="0.3">
      <c r="A16" s="110"/>
      <c r="B16" s="20" t="s">
        <v>46</v>
      </c>
      <c r="C16" s="11">
        <v>0</v>
      </c>
      <c r="D16" s="12">
        <v>100</v>
      </c>
      <c r="E16" s="12">
        <v>100</v>
      </c>
      <c r="F16" s="29">
        <v>495</v>
      </c>
      <c r="G16" s="30">
        <f t="shared" si="0"/>
        <v>0.20202020202020202</v>
      </c>
      <c r="H16" s="29">
        <v>1300</v>
      </c>
      <c r="I16" s="31">
        <f t="shared" si="1"/>
        <v>0</v>
      </c>
      <c r="K16" s="79"/>
      <c r="L16" s="79"/>
    </row>
    <row r="17" spans="1:12" ht="25" customHeight="1" x14ac:dyDescent="0.3">
      <c r="A17" s="110"/>
      <c r="B17" s="20" t="s">
        <v>43</v>
      </c>
      <c r="C17" s="11">
        <v>0</v>
      </c>
      <c r="D17" s="12">
        <v>1</v>
      </c>
      <c r="E17" s="12">
        <v>1</v>
      </c>
      <c r="F17" s="29">
        <v>38</v>
      </c>
      <c r="G17" s="30">
        <f t="shared" si="0"/>
        <v>2.6315789473684209E-2</v>
      </c>
      <c r="H17" s="29">
        <v>2800</v>
      </c>
      <c r="I17" s="31">
        <f t="shared" si="1"/>
        <v>0</v>
      </c>
      <c r="K17" s="79"/>
      <c r="L17" s="79"/>
    </row>
    <row r="18" spans="1:12" ht="25" customHeight="1" x14ac:dyDescent="0.3">
      <c r="A18" s="111"/>
      <c r="B18" s="20" t="s">
        <v>18</v>
      </c>
      <c r="C18" s="11">
        <v>0</v>
      </c>
      <c r="D18" s="12">
        <v>24</v>
      </c>
      <c r="E18" s="12">
        <v>21</v>
      </c>
      <c r="F18" s="29">
        <v>31</v>
      </c>
      <c r="G18" s="30">
        <f t="shared" si="0"/>
        <v>0.77419354838709675</v>
      </c>
      <c r="H18" s="29">
        <v>230</v>
      </c>
      <c r="I18" s="31">
        <f t="shared" si="1"/>
        <v>22.258064516129032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customHeight="1" x14ac:dyDescent="0.3">
      <c r="A20" s="113" t="s">
        <v>19</v>
      </c>
      <c r="B20" s="21" t="s">
        <v>36</v>
      </c>
      <c r="C20" s="11">
        <v>0</v>
      </c>
      <c r="D20" s="12">
        <v>10</v>
      </c>
      <c r="E20" s="12">
        <v>9</v>
      </c>
      <c r="F20" s="29">
        <v>10</v>
      </c>
      <c r="G20" s="30">
        <f t="shared" si="0"/>
        <v>1</v>
      </c>
      <c r="H20" s="29">
        <v>550</v>
      </c>
      <c r="I20" s="31">
        <f t="shared" si="1"/>
        <v>55</v>
      </c>
    </row>
    <row r="21" spans="1:12" ht="25" customHeight="1" x14ac:dyDescent="0.3">
      <c r="A21" s="114"/>
      <c r="B21" s="21" t="s">
        <v>26</v>
      </c>
      <c r="C21" s="11">
        <v>91</v>
      </c>
      <c r="D21" s="12">
        <v>91</v>
      </c>
      <c r="E21" s="12">
        <v>91</v>
      </c>
      <c r="F21" s="29">
        <v>107</v>
      </c>
      <c r="G21" s="30">
        <f t="shared" si="0"/>
        <v>0</v>
      </c>
      <c r="H21" s="29">
        <v>500</v>
      </c>
      <c r="I21" s="31">
        <f t="shared" si="1"/>
        <v>0</v>
      </c>
    </row>
    <row r="22" spans="1:12" ht="25" customHeight="1" x14ac:dyDescent="0.3">
      <c r="A22" s="115"/>
      <c r="B22" s="21" t="s">
        <v>33</v>
      </c>
      <c r="C22" s="11">
        <v>0</v>
      </c>
      <c r="D22" s="12">
        <v>0</v>
      </c>
      <c r="E22" s="12">
        <v>0</v>
      </c>
      <c r="F22" s="29">
        <v>28</v>
      </c>
      <c r="G22" s="30">
        <f t="shared" si="0"/>
        <v>0</v>
      </c>
      <c r="H22" s="29">
        <v>2700</v>
      </c>
      <c r="I22" s="31">
        <f t="shared" si="1"/>
        <v>0</v>
      </c>
    </row>
    <row r="23" spans="1:12" s="39" customFormat="1" ht="5" customHeight="1" x14ac:dyDescent="0.3">
      <c r="A23" s="49"/>
      <c r="B23" s="57"/>
      <c r="C23" s="50"/>
      <c r="D23" s="51"/>
      <c r="E23" s="51"/>
      <c r="F23" s="52"/>
      <c r="G23" s="53"/>
      <c r="H23" s="52"/>
      <c r="I23" s="54"/>
    </row>
    <row r="24" spans="1:12" ht="25" customHeight="1" x14ac:dyDescent="0.3">
      <c r="A24" s="97" t="s">
        <v>22</v>
      </c>
      <c r="B24" s="22" t="s">
        <v>32</v>
      </c>
      <c r="C24" s="11">
        <v>0</v>
      </c>
      <c r="D24" s="12">
        <v>4.0999999999999996</v>
      </c>
      <c r="E24" s="12">
        <v>4.0999999999999996</v>
      </c>
      <c r="F24" s="29">
        <v>28</v>
      </c>
      <c r="G24" s="30">
        <f t="shared" si="0"/>
        <v>0.14642857142857141</v>
      </c>
      <c r="H24" s="29">
        <v>2500</v>
      </c>
      <c r="I24" s="31">
        <f t="shared" si="1"/>
        <v>0</v>
      </c>
    </row>
    <row r="25" spans="1:12" ht="25" customHeight="1" x14ac:dyDescent="0.3">
      <c r="A25" s="98"/>
      <c r="B25" s="22" t="s">
        <v>47</v>
      </c>
      <c r="C25" s="11">
        <v>0</v>
      </c>
      <c r="D25" s="12">
        <v>8</v>
      </c>
      <c r="E25" s="12">
        <v>6</v>
      </c>
      <c r="F25" s="29">
        <v>8</v>
      </c>
      <c r="G25" s="30">
        <f t="shared" si="0"/>
        <v>1</v>
      </c>
      <c r="H25" s="29">
        <v>450</v>
      </c>
      <c r="I25" s="31">
        <f t="shared" si="1"/>
        <v>112.5</v>
      </c>
    </row>
    <row r="26" spans="1:12" s="39" customFormat="1" ht="5" customHeight="1" x14ac:dyDescent="0.3">
      <c r="A26" s="49"/>
      <c r="B26" s="58"/>
      <c r="C26" s="50"/>
      <c r="D26" s="51"/>
      <c r="E26" s="51"/>
      <c r="F26" s="52"/>
      <c r="G26" s="53"/>
      <c r="H26" s="52"/>
      <c r="I26" s="54"/>
    </row>
    <row r="27" spans="1:12" ht="25" customHeight="1" x14ac:dyDescent="0.3">
      <c r="A27" s="99" t="s">
        <v>24</v>
      </c>
      <c r="B27" s="23" t="s">
        <v>34</v>
      </c>
      <c r="C27" s="11">
        <v>72</v>
      </c>
      <c r="D27" s="12">
        <v>72</v>
      </c>
      <c r="E27" s="12">
        <v>72</v>
      </c>
      <c r="F27" s="29">
        <v>103</v>
      </c>
      <c r="G27" s="30">
        <f t="shared" si="0"/>
        <v>0</v>
      </c>
      <c r="H27" s="29">
        <v>630</v>
      </c>
      <c r="I27" s="31">
        <f t="shared" si="1"/>
        <v>0</v>
      </c>
      <c r="K27" s="68"/>
    </row>
    <row r="28" spans="1:12" ht="25" customHeight="1" x14ac:dyDescent="0.3">
      <c r="A28" s="100"/>
      <c r="B28" s="23" t="s">
        <v>48</v>
      </c>
      <c r="C28" s="11">
        <v>0</v>
      </c>
      <c r="D28" s="12">
        <v>8</v>
      </c>
      <c r="E28" s="12">
        <v>7</v>
      </c>
      <c r="F28" s="29">
        <v>8</v>
      </c>
      <c r="G28" s="30">
        <f t="shared" si="0"/>
        <v>1</v>
      </c>
      <c r="H28" s="29">
        <v>450</v>
      </c>
      <c r="I28" s="31">
        <f t="shared" si="1"/>
        <v>56.25</v>
      </c>
    </row>
    <row r="29" spans="1:12" ht="25" customHeight="1" x14ac:dyDescent="0.3">
      <c r="A29" s="101"/>
      <c r="B29" s="24" t="s">
        <v>40</v>
      </c>
      <c r="C29" s="13">
        <v>0</v>
      </c>
      <c r="D29" s="14">
        <v>1</v>
      </c>
      <c r="E29" s="14">
        <v>0</v>
      </c>
      <c r="F29" s="32">
        <v>28</v>
      </c>
      <c r="G29" s="33">
        <f t="shared" si="0"/>
        <v>3.5714285714285712E-2</v>
      </c>
      <c r="H29" s="32">
        <v>2300</v>
      </c>
      <c r="I29" s="34">
        <f t="shared" si="1"/>
        <v>82.142857142857139</v>
      </c>
    </row>
    <row r="30" spans="1:12" s="39" customFormat="1" ht="5" customHeight="1" x14ac:dyDescent="0.3">
      <c r="A30" s="42"/>
      <c r="B30" s="43"/>
      <c r="C30" s="44"/>
      <c r="D30" s="45"/>
      <c r="E30" s="45"/>
      <c r="F30" s="46"/>
      <c r="G30" s="47"/>
      <c r="H30" s="46"/>
      <c r="I30" s="48"/>
    </row>
  </sheetData>
  <mergeCells count="8">
    <mergeCell ref="A24:A25"/>
    <mergeCell ref="A27:A29"/>
    <mergeCell ref="K2:L3"/>
    <mergeCell ref="A3:A6"/>
    <mergeCell ref="A8:A11"/>
    <mergeCell ref="A13:A18"/>
    <mergeCell ref="K13:L13"/>
    <mergeCell ref="A20:A22"/>
  </mergeCells>
  <phoneticPr fontId="1" type="noConversion"/>
  <conditionalFormatting sqref="G3:G6 G8 G10:G30">
    <cfRule type="dataBar" priority="12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{A81974D3-6E4B-41C5-AC4A-FEA8E4A88E4F}</x14:id>
        </ext>
      </extLst>
    </cfRule>
  </conditionalFormatting>
  <conditionalFormatting sqref="G20:G23">
    <cfRule type="dataBar" priority="11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{68D765D6-FDA0-498A-A2F4-CE2EECCB8ABE}</x14:id>
        </ext>
      </extLst>
    </cfRule>
  </conditionalFormatting>
  <conditionalFormatting sqref="G24:G26">
    <cfRule type="dataBar" priority="10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{FB86E671-EA87-4010-A694-75D59E6952E7}</x14:id>
        </ext>
      </extLst>
    </cfRule>
  </conditionalFormatting>
  <conditionalFormatting sqref="G27:G30">
    <cfRule type="dataBar" priority="9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{BB1C3E66-9F9D-47B9-A1DC-856DFF230C65}</x14:id>
        </ext>
      </extLst>
    </cfRule>
  </conditionalFormatting>
  <conditionalFormatting sqref="G10:G11 G8">
    <cfRule type="dataBar" priority="6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{E131C625-E01E-4F5C-854C-4D40A5295A36}</x14:id>
        </ext>
      </extLst>
    </cfRule>
    <cfRule type="dataBar" priority="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{B4E02571-953F-44BB-9208-B69002E2E703}</x14:id>
        </ext>
      </extLst>
    </cfRule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{BAFB93E4-5A5E-4175-87B5-E72CD0801D9D}</x14:id>
        </ext>
      </extLst>
    </cfRule>
  </conditionalFormatting>
  <conditionalFormatting sqref="G13:G18">
    <cfRule type="dataBar" priority="5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{349861EC-8DB9-4B6E-98DE-B423C6B02F02}</x14:id>
        </ext>
      </extLst>
    </cfRule>
  </conditionalFormatting>
  <conditionalFormatting sqref="G9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{4DB48B71-E2DE-4DAB-B318-BFEE0763D714}</x14:id>
        </ext>
      </extLst>
    </cfRule>
  </conditionalFormatting>
  <conditionalFormatting sqref="G9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{ACC57B31-A1AB-4001-8CEA-DB819173C4C4}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{563185BB-E2C4-42C2-B314-34E1AD0ADC68}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{EF84E472-6D67-433E-8F7E-1DC156A187B2}</x14:id>
        </ext>
      </extLst>
    </cfRule>
  </conditionalFormatting>
  <pageMargins left="0.7" right="0.7" top="0.75" bottom="0.75" header="0.3" footer="0.3"/>
  <pageSetup paperSize="9" scale="56" orientation="landscape" verticalDpi="0" r:id="rId1"/>
  <ignoredErrors>
    <ignoredError sqref="I4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1974D3-6E4B-41C5-AC4A-FEA8E4A88E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G10:G30</xm:sqref>
        </x14:conditionalFormatting>
        <x14:conditionalFormatting xmlns:xm="http://schemas.microsoft.com/office/excel/2006/main">
          <x14:cfRule type="dataBar" id="{68D765D6-FDA0-498A-A2F4-CE2EECCB8A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FB86E671-EA87-4010-A694-75D59E6952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G24:G26</xm:sqref>
        </x14:conditionalFormatting>
        <x14:conditionalFormatting xmlns:xm="http://schemas.microsoft.com/office/excel/2006/main">
          <x14:cfRule type="dataBar" id="{BB1C3E66-9F9D-47B9-A1DC-856DFF230C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G27:G30</xm:sqref>
        </x14:conditionalFormatting>
        <x14:conditionalFormatting xmlns:xm="http://schemas.microsoft.com/office/excel/2006/main">
          <x14:cfRule type="dataBar" id="{E131C625-E01E-4F5C-854C-4D40A5295A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B4E02571-953F-44BB-9208-B69002E2E7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AFB93E4-5A5E-4175-87B5-E72CD0801D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349861EC-8DB9-4B6E-98DE-B423C6B02F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4DB48B71-E2DE-4DAB-B318-BFEE0763D7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ACC57B31-A1AB-4001-8CEA-DB819173C4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563185BB-E2C4-42C2-B314-34E1AD0ADC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F84E472-6D67-433E-8F7E-1DC156A187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B851A-1968-4388-A79C-A161DBA32BD0}">
  <sheetPr codeName="Sheet8">
    <pageSetUpPr fitToPage="1"/>
  </sheetPr>
  <dimension ref="A1:L30"/>
  <sheetViews>
    <sheetView zoomScaleNormal="100" workbookViewId="0"/>
  </sheetViews>
  <sheetFormatPr defaultColWidth="9.58203125"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ROUND(SUM(I3:I41),0)&amp;"+"</f>
        <v>444+</v>
      </c>
      <c r="L2" s="116"/>
    </row>
    <row r="3" spans="1:12" ht="25" customHeight="1" x14ac:dyDescent="0.3">
      <c r="A3" s="103" t="s">
        <v>7</v>
      </c>
      <c r="B3" s="18" t="s">
        <v>13</v>
      </c>
      <c r="C3" s="11">
        <v>0</v>
      </c>
      <c r="D3" s="12">
        <v>8.5</v>
      </c>
      <c r="E3" s="12">
        <v>7.3</v>
      </c>
      <c r="F3" s="29">
        <v>12</v>
      </c>
      <c r="G3" s="30">
        <f>(D3-C3)/(F3-C3)</f>
        <v>0.70833333333333337</v>
      </c>
      <c r="H3" s="29">
        <v>700</v>
      </c>
      <c r="I3" s="31">
        <f>((D3-E3)/F3)*H3</f>
        <v>70.000000000000014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7</v>
      </c>
      <c r="E4" s="60">
        <v>6.5</v>
      </c>
      <c r="F4" s="59">
        <v>65</v>
      </c>
      <c r="G4" s="30">
        <f t="shared" ref="G4:G29" si="0">(D4-C4)/(F4-C4)</f>
        <v>0.1076923076923077</v>
      </c>
      <c r="H4" s="29">
        <v>1800</v>
      </c>
      <c r="I4" s="31">
        <f t="shared" ref="I4:I29" si="1">((D4-E4)/F4)*H4</f>
        <v>13.846153846153847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44752</v>
      </c>
      <c r="L5" s="7">
        <v>0.89513888888888893</v>
      </c>
    </row>
    <row r="6" spans="1:12" ht="25" customHeight="1" x14ac:dyDescent="0.3">
      <c r="A6" s="105"/>
      <c r="B6" s="18" t="s">
        <v>44</v>
      </c>
      <c r="C6" s="70">
        <v>5106</v>
      </c>
      <c r="D6" s="71">
        <v>8400</v>
      </c>
      <c r="E6" s="71">
        <v>8100</v>
      </c>
      <c r="F6" s="72">
        <v>13712</v>
      </c>
      <c r="G6" s="30">
        <f t="shared" si="0"/>
        <v>0.38275621659307457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hidden="1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49</v>
      </c>
      <c r="C9" s="11">
        <v>0</v>
      </c>
      <c r="D9" s="12">
        <v>0</v>
      </c>
      <c r="E9" s="12">
        <v>0</v>
      </c>
      <c r="F9" s="29">
        <v>8</v>
      </c>
      <c r="G9" s="30">
        <f t="shared" ref="G9" si="2">(D9-C9)/(F9-C9)</f>
        <v>0</v>
      </c>
      <c r="H9" s="29">
        <v>500</v>
      </c>
      <c r="I9" s="31">
        <f t="shared" ref="I9" si="3">((D9-E9)/F9)*H9</f>
        <v>0</v>
      </c>
    </row>
    <row r="10" spans="1:12" ht="25" customHeight="1" x14ac:dyDescent="0.3">
      <c r="A10" s="107"/>
      <c r="B10" s="19" t="s">
        <v>45</v>
      </c>
      <c r="C10" s="11"/>
      <c r="D10" s="12" t="s">
        <v>41</v>
      </c>
      <c r="E10" s="12" t="s">
        <v>41</v>
      </c>
      <c r="F10" s="29"/>
      <c r="G10" s="77"/>
      <c r="H10" s="29"/>
      <c r="I10" s="31">
        <v>0</v>
      </c>
    </row>
    <row r="11" spans="1:12" ht="25" customHeight="1" x14ac:dyDescent="0.3">
      <c r="A11" s="108"/>
      <c r="B11" s="19" t="s">
        <v>16</v>
      </c>
      <c r="C11" s="11">
        <v>0</v>
      </c>
      <c r="D11" s="12">
        <v>0</v>
      </c>
      <c r="E11" s="12">
        <v>0</v>
      </c>
      <c r="F11" s="29">
        <v>38</v>
      </c>
      <c r="G11" s="30">
        <f t="shared" si="0"/>
        <v>0</v>
      </c>
      <c r="H11" s="29">
        <v>6000</v>
      </c>
      <c r="I11" s="31">
        <f t="shared" si="1"/>
        <v>0</v>
      </c>
      <c r="J11" s="1" t="s">
        <v>30</v>
      </c>
      <c r="K11" s="9"/>
      <c r="L11" s="78"/>
    </row>
    <row r="12" spans="1:12" s="39" customFormat="1" ht="5" customHeight="1" x14ac:dyDescent="0.3">
      <c r="A12" s="49"/>
      <c r="B12" s="55"/>
      <c r="C12" s="50"/>
      <c r="D12" s="51"/>
      <c r="E12" s="51"/>
      <c r="F12" s="52"/>
      <c r="G12" s="53"/>
      <c r="H12" s="52"/>
      <c r="I12" s="54"/>
      <c r="J12" s="36"/>
      <c r="K12" s="40"/>
      <c r="L12" s="41"/>
    </row>
    <row r="13" spans="1:12" ht="25" customHeight="1" x14ac:dyDescent="0.3">
      <c r="A13" s="109" t="s">
        <v>9</v>
      </c>
      <c r="B13" s="20" t="s">
        <v>17</v>
      </c>
      <c r="C13" s="11">
        <v>0</v>
      </c>
      <c r="D13" s="12">
        <v>10</v>
      </c>
      <c r="E13" s="12">
        <v>9</v>
      </c>
      <c r="F13" s="29">
        <v>12</v>
      </c>
      <c r="G13" s="30">
        <f t="shared" si="0"/>
        <v>0.83333333333333337</v>
      </c>
      <c r="H13" s="29">
        <v>400</v>
      </c>
      <c r="I13" s="31">
        <f t="shared" si="1"/>
        <v>33.333333333333329</v>
      </c>
      <c r="K13" s="112"/>
      <c r="L13" s="112"/>
    </row>
    <row r="14" spans="1:12" ht="25" customHeight="1" x14ac:dyDescent="0.3">
      <c r="A14" s="110"/>
      <c r="B14" s="20" t="s">
        <v>42</v>
      </c>
      <c r="C14" s="11">
        <v>0</v>
      </c>
      <c r="D14" s="12">
        <v>9</v>
      </c>
      <c r="E14" s="12">
        <v>8</v>
      </c>
      <c r="F14" s="29">
        <v>17</v>
      </c>
      <c r="G14" s="30">
        <f t="shared" si="0"/>
        <v>0.52941176470588236</v>
      </c>
      <c r="H14" s="29">
        <v>350</v>
      </c>
      <c r="I14" s="31">
        <f t="shared" si="1"/>
        <v>20.588235294117649</v>
      </c>
      <c r="K14" s="78"/>
      <c r="L14" s="78"/>
    </row>
    <row r="15" spans="1:12" ht="25" customHeight="1" x14ac:dyDescent="0.3">
      <c r="A15" s="110"/>
      <c r="B15" s="20" t="s">
        <v>39</v>
      </c>
      <c r="C15" s="11">
        <v>0</v>
      </c>
      <c r="D15" s="12" t="s">
        <v>41</v>
      </c>
      <c r="E15" s="12" t="s">
        <v>41</v>
      </c>
      <c r="F15" s="29"/>
      <c r="G15" s="67"/>
      <c r="H15" s="29"/>
      <c r="I15" s="31"/>
      <c r="K15" s="78"/>
      <c r="L15" s="78"/>
    </row>
    <row r="16" spans="1:12" ht="25" customHeight="1" x14ac:dyDescent="0.3">
      <c r="A16" s="110"/>
      <c r="B16" s="20" t="s">
        <v>46</v>
      </c>
      <c r="C16" s="11">
        <v>0</v>
      </c>
      <c r="D16" s="12">
        <v>100</v>
      </c>
      <c r="E16" s="12">
        <v>80</v>
      </c>
      <c r="F16" s="29">
        <v>495</v>
      </c>
      <c r="G16" s="30">
        <f t="shared" si="0"/>
        <v>0.20202020202020202</v>
      </c>
      <c r="H16" s="29">
        <v>1300</v>
      </c>
      <c r="I16" s="31">
        <f t="shared" si="1"/>
        <v>52.525252525252533</v>
      </c>
      <c r="K16" s="78"/>
      <c r="L16" s="78"/>
    </row>
    <row r="17" spans="1:12" ht="25" customHeight="1" x14ac:dyDescent="0.3">
      <c r="A17" s="110"/>
      <c r="B17" s="20" t="s">
        <v>43</v>
      </c>
      <c r="C17" s="11">
        <v>0</v>
      </c>
      <c r="D17" s="12">
        <v>1</v>
      </c>
      <c r="E17" s="12">
        <v>1</v>
      </c>
      <c r="F17" s="29">
        <v>38</v>
      </c>
      <c r="G17" s="30">
        <f t="shared" si="0"/>
        <v>2.6315789473684209E-2</v>
      </c>
      <c r="H17" s="29">
        <v>2800</v>
      </c>
      <c r="I17" s="31">
        <f t="shared" si="1"/>
        <v>0</v>
      </c>
      <c r="K17" s="78"/>
      <c r="L17" s="78"/>
    </row>
    <row r="18" spans="1:12" ht="25" customHeight="1" x14ac:dyDescent="0.3">
      <c r="A18" s="111"/>
      <c r="B18" s="20" t="s">
        <v>18</v>
      </c>
      <c r="C18" s="11">
        <v>0</v>
      </c>
      <c r="D18" s="12">
        <v>21</v>
      </c>
      <c r="E18" s="12">
        <v>17</v>
      </c>
      <c r="F18" s="29">
        <v>31</v>
      </c>
      <c r="G18" s="30">
        <f t="shared" si="0"/>
        <v>0.67741935483870963</v>
      </c>
      <c r="H18" s="29">
        <v>230</v>
      </c>
      <c r="I18" s="31">
        <f t="shared" si="1"/>
        <v>29.677419354838708</v>
      </c>
    </row>
    <row r="19" spans="1:12" s="39" customFormat="1" ht="5" customHeight="1" x14ac:dyDescent="0.3">
      <c r="A19" s="49"/>
      <c r="B19" s="56"/>
      <c r="C19" s="50"/>
      <c r="D19" s="51"/>
      <c r="E19" s="51"/>
      <c r="F19" s="52"/>
      <c r="G19" s="53"/>
      <c r="H19" s="52"/>
      <c r="I19" s="54"/>
    </row>
    <row r="20" spans="1:12" ht="25" customHeight="1" x14ac:dyDescent="0.3">
      <c r="A20" s="113" t="s">
        <v>19</v>
      </c>
      <c r="B20" s="21" t="s">
        <v>36</v>
      </c>
      <c r="C20" s="11">
        <v>0</v>
      </c>
      <c r="D20" s="12">
        <v>9</v>
      </c>
      <c r="E20" s="12">
        <v>8</v>
      </c>
      <c r="F20" s="29">
        <v>10</v>
      </c>
      <c r="G20" s="30">
        <f t="shared" si="0"/>
        <v>0.9</v>
      </c>
      <c r="H20" s="29">
        <v>550</v>
      </c>
      <c r="I20" s="31">
        <f t="shared" si="1"/>
        <v>55</v>
      </c>
    </row>
    <row r="21" spans="1:12" ht="25" customHeight="1" x14ac:dyDescent="0.3">
      <c r="A21" s="114"/>
      <c r="B21" s="21" t="s">
        <v>26</v>
      </c>
      <c r="C21" s="11">
        <v>91</v>
      </c>
      <c r="D21" s="12">
        <v>91</v>
      </c>
      <c r="E21" s="12">
        <v>91</v>
      </c>
      <c r="F21" s="29">
        <v>107</v>
      </c>
      <c r="G21" s="30">
        <f t="shared" si="0"/>
        <v>0</v>
      </c>
      <c r="H21" s="29">
        <v>500</v>
      </c>
      <c r="I21" s="31">
        <f t="shared" si="1"/>
        <v>0</v>
      </c>
    </row>
    <row r="22" spans="1:12" ht="25" customHeight="1" x14ac:dyDescent="0.3">
      <c r="A22" s="115"/>
      <c r="B22" s="21" t="s">
        <v>33</v>
      </c>
      <c r="C22" s="11">
        <v>0</v>
      </c>
      <c r="D22" s="12">
        <v>0</v>
      </c>
      <c r="E22" s="12">
        <v>0</v>
      </c>
      <c r="F22" s="29">
        <v>28</v>
      </c>
      <c r="G22" s="30">
        <f t="shared" si="0"/>
        <v>0</v>
      </c>
      <c r="H22" s="29">
        <v>2700</v>
      </c>
      <c r="I22" s="31">
        <f t="shared" si="1"/>
        <v>0</v>
      </c>
    </row>
    <row r="23" spans="1:12" s="39" customFormat="1" ht="5" customHeight="1" x14ac:dyDescent="0.3">
      <c r="A23" s="49"/>
      <c r="B23" s="57"/>
      <c r="C23" s="50"/>
      <c r="D23" s="51"/>
      <c r="E23" s="51"/>
      <c r="F23" s="52"/>
      <c r="G23" s="53"/>
      <c r="H23" s="52"/>
      <c r="I23" s="54"/>
    </row>
    <row r="24" spans="1:12" ht="25" customHeight="1" x14ac:dyDescent="0.3">
      <c r="A24" s="97" t="s">
        <v>22</v>
      </c>
      <c r="B24" s="22" t="s">
        <v>32</v>
      </c>
      <c r="C24" s="11">
        <v>0</v>
      </c>
      <c r="D24" s="12">
        <v>4.0999999999999996</v>
      </c>
      <c r="E24" s="12">
        <v>4.0999999999999996</v>
      </c>
      <c r="F24" s="29">
        <v>28</v>
      </c>
      <c r="G24" s="30">
        <f t="shared" si="0"/>
        <v>0.14642857142857141</v>
      </c>
      <c r="H24" s="29">
        <v>2500</v>
      </c>
      <c r="I24" s="31">
        <f t="shared" si="1"/>
        <v>0</v>
      </c>
    </row>
    <row r="25" spans="1:12" ht="25" customHeight="1" x14ac:dyDescent="0.3">
      <c r="A25" s="98"/>
      <c r="B25" s="22" t="s">
        <v>47</v>
      </c>
      <c r="C25" s="11">
        <v>0</v>
      </c>
      <c r="D25" s="12">
        <v>6</v>
      </c>
      <c r="E25" s="12">
        <v>4</v>
      </c>
      <c r="F25" s="29">
        <v>8</v>
      </c>
      <c r="G25" s="30">
        <f t="shared" si="0"/>
        <v>0.75</v>
      </c>
      <c r="H25" s="29">
        <v>450</v>
      </c>
      <c r="I25" s="31">
        <f t="shared" si="1"/>
        <v>112.5</v>
      </c>
    </row>
    <row r="26" spans="1:12" s="39" customFormat="1" ht="5" customHeight="1" x14ac:dyDescent="0.3">
      <c r="A26" s="49"/>
      <c r="B26" s="58"/>
      <c r="C26" s="50"/>
      <c r="D26" s="51"/>
      <c r="E26" s="51"/>
      <c r="F26" s="52"/>
      <c r="G26" s="53"/>
      <c r="H26" s="52"/>
      <c r="I26" s="54"/>
    </row>
    <row r="27" spans="1:12" ht="25" customHeight="1" x14ac:dyDescent="0.3">
      <c r="A27" s="99" t="s">
        <v>24</v>
      </c>
      <c r="B27" s="23" t="s">
        <v>34</v>
      </c>
      <c r="C27" s="11">
        <v>72</v>
      </c>
      <c r="D27" s="12">
        <v>72</v>
      </c>
      <c r="E27" s="12">
        <v>72</v>
      </c>
      <c r="F27" s="29">
        <v>103</v>
      </c>
      <c r="G27" s="30">
        <f t="shared" si="0"/>
        <v>0</v>
      </c>
      <c r="H27" s="29">
        <v>630</v>
      </c>
      <c r="I27" s="31">
        <f t="shared" si="1"/>
        <v>0</v>
      </c>
      <c r="K27" s="68"/>
    </row>
    <row r="28" spans="1:12" ht="25" customHeight="1" x14ac:dyDescent="0.3">
      <c r="A28" s="100"/>
      <c r="B28" s="23" t="s">
        <v>48</v>
      </c>
      <c r="C28" s="11">
        <v>0</v>
      </c>
      <c r="D28" s="12">
        <v>7</v>
      </c>
      <c r="E28" s="12">
        <v>6</v>
      </c>
      <c r="F28" s="29">
        <v>8</v>
      </c>
      <c r="G28" s="30">
        <f t="shared" si="0"/>
        <v>0.875</v>
      </c>
      <c r="H28" s="29">
        <v>450</v>
      </c>
      <c r="I28" s="31">
        <f t="shared" si="1"/>
        <v>56.25</v>
      </c>
    </row>
    <row r="29" spans="1:12" ht="25" customHeight="1" x14ac:dyDescent="0.3">
      <c r="A29" s="101"/>
      <c r="B29" s="24" t="s">
        <v>40</v>
      </c>
      <c r="C29" s="13">
        <v>0</v>
      </c>
      <c r="D29" s="14">
        <v>0</v>
      </c>
      <c r="E29" s="14">
        <v>0</v>
      </c>
      <c r="F29" s="32">
        <v>28</v>
      </c>
      <c r="G29" s="33">
        <f t="shared" si="0"/>
        <v>0</v>
      </c>
      <c r="H29" s="32">
        <v>2300</v>
      </c>
      <c r="I29" s="34">
        <f t="shared" si="1"/>
        <v>0</v>
      </c>
    </row>
    <row r="30" spans="1:12" s="39" customFormat="1" ht="5" customHeight="1" x14ac:dyDescent="0.3">
      <c r="A30" s="42"/>
      <c r="B30" s="43"/>
      <c r="C30" s="44"/>
      <c r="D30" s="45"/>
      <c r="E30" s="45"/>
      <c r="F30" s="46"/>
      <c r="G30" s="47"/>
      <c r="H30" s="46"/>
      <c r="I30" s="48"/>
    </row>
  </sheetData>
  <mergeCells count="8">
    <mergeCell ref="A24:A25"/>
    <mergeCell ref="A27:A29"/>
    <mergeCell ref="K2:L3"/>
    <mergeCell ref="A3:A6"/>
    <mergeCell ref="A8:A11"/>
    <mergeCell ref="A13:A18"/>
    <mergeCell ref="K13:L13"/>
    <mergeCell ref="A20:A22"/>
  </mergeCells>
  <phoneticPr fontId="1" type="noConversion"/>
  <conditionalFormatting sqref="G3:G6 G8 G10:G30">
    <cfRule type="dataBar" priority="12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{0A791A29-096F-47F7-ADDD-7195E2748F1F}</x14:id>
        </ext>
      </extLst>
    </cfRule>
  </conditionalFormatting>
  <conditionalFormatting sqref="G20:G23">
    <cfRule type="dataBar" priority="11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{33A5C7F1-950A-4680-9CC3-AA0DF5A6C06D}</x14:id>
        </ext>
      </extLst>
    </cfRule>
  </conditionalFormatting>
  <conditionalFormatting sqref="G24:G26">
    <cfRule type="dataBar" priority="10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{B16C5E1D-EE58-4547-97AC-8CF5C0A477C6}</x14:id>
        </ext>
      </extLst>
    </cfRule>
  </conditionalFormatting>
  <conditionalFormatting sqref="G27:G30">
    <cfRule type="dataBar" priority="9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{1BDBE74F-8861-4DB7-95DB-030414EF2C1E}</x14:id>
        </ext>
      </extLst>
    </cfRule>
  </conditionalFormatting>
  <conditionalFormatting sqref="G10:G11 G8">
    <cfRule type="dataBar" priority="6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{542486CF-47A2-4AD9-A146-E6DCA60A70EA}</x14:id>
        </ext>
      </extLst>
    </cfRule>
    <cfRule type="dataBar" priority="7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{B668F44A-0F11-4E42-B805-4B6F5A0FE4B5}</x14:id>
        </ext>
      </extLst>
    </cfRule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{3F93C9FB-E3B2-4389-BB04-D46CDDD5FE1C}</x14:id>
        </ext>
      </extLst>
    </cfRule>
  </conditionalFormatting>
  <conditionalFormatting sqref="G13:G18">
    <cfRule type="dataBar" priority="5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{1EA90244-97F6-4341-B513-48D02C495AEA}</x14:id>
        </ext>
      </extLst>
    </cfRule>
  </conditionalFormatting>
  <conditionalFormatting sqref="G9">
    <cfRule type="dataBar" priority="4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{04736DE6-E99A-443C-89AC-85D18CA7BDC1}</x14:id>
        </ext>
      </extLst>
    </cfRule>
  </conditionalFormatting>
  <conditionalFormatting sqref="G9">
    <cfRule type="dataBar" priority="1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{5DCF9948-BB80-4F13-9BDA-04BA3B00FCDD}</x14:id>
        </ext>
      </extLst>
    </cfRule>
    <cfRule type="dataBar" priority="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{3B96F752-150A-42FA-9632-A48031C4FDC3}</x14:id>
        </ext>
      </extLst>
    </cfRule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{4DE5FF2F-5E8D-40D2-810A-C63835BF528C}</x14:id>
        </ext>
      </extLst>
    </cfRule>
  </conditionalFormatting>
  <pageMargins left="0.7" right="0.7" top="0.75" bottom="0.75" header="0.3" footer="0.3"/>
  <pageSetup paperSize="9" scale="5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791A29-096F-47F7-ADDD-7195E2748F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 G10:G30</xm:sqref>
        </x14:conditionalFormatting>
        <x14:conditionalFormatting xmlns:xm="http://schemas.microsoft.com/office/excel/2006/main">
          <x14:cfRule type="dataBar" id="{33A5C7F1-950A-4680-9CC3-AA0DF5A6C0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B16C5E1D-EE58-4547-97AC-8CF5C0A477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G24:G26</xm:sqref>
        </x14:conditionalFormatting>
        <x14:conditionalFormatting xmlns:xm="http://schemas.microsoft.com/office/excel/2006/main">
          <x14:cfRule type="dataBar" id="{1BDBE74F-8861-4DB7-95DB-030414EF2C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G27:G30</xm:sqref>
        </x14:conditionalFormatting>
        <x14:conditionalFormatting xmlns:xm="http://schemas.microsoft.com/office/excel/2006/main">
          <x14:cfRule type="dataBar" id="{542486CF-47A2-4AD9-A146-E6DCA60A70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B668F44A-0F11-4E42-B805-4B6F5A0FE4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93C9FB-E3B2-4389-BB04-D46CDDD5FE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 G8</xm:sqref>
        </x14:conditionalFormatting>
        <x14:conditionalFormatting xmlns:xm="http://schemas.microsoft.com/office/excel/2006/main">
          <x14:cfRule type="dataBar" id="{1EA90244-97F6-4341-B513-48D02C495A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G13:G18</xm:sqref>
        </x14:conditionalFormatting>
        <x14:conditionalFormatting xmlns:xm="http://schemas.microsoft.com/office/excel/2006/main">
          <x14:cfRule type="dataBar" id="{04736DE6-E99A-443C-89AC-85D18CA7BD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5DCF9948-BB80-4F13-9BDA-04BA3B00FC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3B96F752-150A-42FA-9632-A48031C4FD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DE5FF2F-5E8D-40D2-810A-C63835BF52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BEC12-6749-4B36-86D4-0671B6DF7A02}">
  <sheetPr codeName="Sheet7">
    <pageSetUpPr fitToPage="1"/>
  </sheetPr>
  <dimension ref="A1:L29"/>
  <sheetViews>
    <sheetView zoomScaleNormal="100" workbookViewId="0"/>
  </sheetViews>
  <sheetFormatPr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0" max="10" width="11.5820312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ROUND(SUM(I3:I40),0)&amp;"+"</f>
        <v>369+</v>
      </c>
      <c r="L2" s="116"/>
    </row>
    <row r="3" spans="1:12" ht="25" customHeight="1" x14ac:dyDescent="0.3">
      <c r="A3" s="103" t="s">
        <v>7</v>
      </c>
      <c r="B3" s="18" t="s">
        <v>13</v>
      </c>
      <c r="C3" s="11">
        <v>0</v>
      </c>
      <c r="D3" s="12">
        <v>7.3</v>
      </c>
      <c r="E3" s="12">
        <v>5.7</v>
      </c>
      <c r="F3" s="29">
        <v>13</v>
      </c>
      <c r="G3" s="30">
        <f>(D3-C3)/(F3-C3)</f>
        <v>0.56153846153846154</v>
      </c>
      <c r="H3" s="29">
        <v>700</v>
      </c>
      <c r="I3" s="31">
        <f>((D3-E3)/F3)*H3-35</f>
        <v>51.153846153846146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6.5</v>
      </c>
      <c r="E4" s="60">
        <v>6.5</v>
      </c>
      <c r="F4" s="59">
        <v>65</v>
      </c>
      <c r="G4" s="30">
        <f t="shared" ref="G4:G28" si="0">(D4-C4)/(F4-C4)</f>
        <v>0.1</v>
      </c>
      <c r="H4" s="29">
        <v>1800</v>
      </c>
      <c r="I4" s="31">
        <f t="shared" ref="I4:I28" si="1">((D4-E4)/F4)*H4</f>
        <v>0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44751</v>
      </c>
      <c r="L5" s="7">
        <v>0.88402777777777775</v>
      </c>
    </row>
    <row r="6" spans="1:12" ht="25" customHeight="1" x14ac:dyDescent="0.3">
      <c r="A6" s="105"/>
      <c r="B6" s="18" t="s">
        <v>44</v>
      </c>
      <c r="C6" s="70">
        <v>5106</v>
      </c>
      <c r="D6" s="71">
        <v>8100</v>
      </c>
      <c r="E6" s="71">
        <v>7100</v>
      </c>
      <c r="F6" s="72">
        <v>13712</v>
      </c>
      <c r="G6" s="30">
        <f t="shared" si="0"/>
        <v>0.34789681617476181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45</v>
      </c>
      <c r="C9" s="11"/>
      <c r="D9" s="12" t="s">
        <v>41</v>
      </c>
      <c r="E9" s="12" t="s">
        <v>41</v>
      </c>
      <c r="F9" s="29"/>
      <c r="G9" s="77"/>
      <c r="H9" s="29"/>
      <c r="I9" s="31">
        <v>150</v>
      </c>
    </row>
    <row r="10" spans="1:12" ht="25" customHeight="1" x14ac:dyDescent="0.3">
      <c r="A10" s="108"/>
      <c r="B10" s="19" t="s">
        <v>16</v>
      </c>
      <c r="C10" s="11">
        <v>0</v>
      </c>
      <c r="D10" s="12">
        <v>0</v>
      </c>
      <c r="E10" s="12">
        <v>0</v>
      </c>
      <c r="F10" s="29">
        <v>38</v>
      </c>
      <c r="G10" s="30">
        <f t="shared" si="0"/>
        <v>0</v>
      </c>
      <c r="H10" s="29">
        <v>6000</v>
      </c>
      <c r="I10" s="31">
        <f t="shared" si="1"/>
        <v>0</v>
      </c>
      <c r="J10" s="1" t="s">
        <v>30</v>
      </c>
      <c r="K10" s="9"/>
      <c r="L10" s="76"/>
    </row>
    <row r="11" spans="1:12" s="39" customFormat="1" ht="5" customHeight="1" x14ac:dyDescent="0.3">
      <c r="A11" s="49"/>
      <c r="B11" s="55"/>
      <c r="C11" s="50"/>
      <c r="D11" s="51"/>
      <c r="E11" s="51"/>
      <c r="F11" s="52"/>
      <c r="G11" s="53"/>
      <c r="H11" s="52"/>
      <c r="I11" s="54"/>
      <c r="J11" s="36"/>
      <c r="K11" s="40"/>
      <c r="L11" s="41"/>
    </row>
    <row r="12" spans="1:12" ht="25" customHeight="1" x14ac:dyDescent="0.3">
      <c r="A12" s="109" t="s">
        <v>9</v>
      </c>
      <c r="B12" s="20" t="s">
        <v>17</v>
      </c>
      <c r="C12" s="11">
        <v>0</v>
      </c>
      <c r="D12" s="12">
        <v>9</v>
      </c>
      <c r="E12" s="12">
        <v>8</v>
      </c>
      <c r="F12" s="29">
        <v>12</v>
      </c>
      <c r="G12" s="30">
        <f t="shared" si="0"/>
        <v>0.75</v>
      </c>
      <c r="H12" s="29">
        <v>400</v>
      </c>
      <c r="I12" s="31">
        <f t="shared" si="1"/>
        <v>33.333333333333329</v>
      </c>
      <c r="K12" s="112"/>
      <c r="L12" s="112"/>
    </row>
    <row r="13" spans="1:12" ht="25" customHeight="1" x14ac:dyDescent="0.3">
      <c r="A13" s="110"/>
      <c r="B13" s="20" t="s">
        <v>42</v>
      </c>
      <c r="C13" s="11">
        <v>0</v>
      </c>
      <c r="D13" s="12">
        <v>8</v>
      </c>
      <c r="E13" s="12">
        <v>6</v>
      </c>
      <c r="F13" s="29">
        <v>17</v>
      </c>
      <c r="G13" s="30">
        <f t="shared" si="0"/>
        <v>0.47058823529411764</v>
      </c>
      <c r="H13" s="29">
        <v>350</v>
      </c>
      <c r="I13" s="31">
        <f t="shared" si="1"/>
        <v>41.176470588235297</v>
      </c>
      <c r="K13" s="76"/>
      <c r="L13" s="76"/>
    </row>
    <row r="14" spans="1:12" ht="25" customHeight="1" x14ac:dyDescent="0.3">
      <c r="A14" s="110"/>
      <c r="B14" s="20" t="s">
        <v>39</v>
      </c>
      <c r="C14" s="11">
        <v>0</v>
      </c>
      <c r="D14" s="12" t="s">
        <v>41</v>
      </c>
      <c r="E14" s="12" t="s">
        <v>41</v>
      </c>
      <c r="F14" s="29"/>
      <c r="G14" s="67"/>
      <c r="H14" s="29"/>
      <c r="I14" s="31"/>
      <c r="K14" s="76"/>
      <c r="L14" s="76"/>
    </row>
    <row r="15" spans="1:12" ht="25" customHeight="1" x14ac:dyDescent="0.3">
      <c r="A15" s="110"/>
      <c r="B15" s="20" t="s">
        <v>46</v>
      </c>
      <c r="C15" s="11">
        <v>0</v>
      </c>
      <c r="D15" s="12">
        <v>80</v>
      </c>
      <c r="E15" s="12">
        <v>70</v>
      </c>
      <c r="F15" s="29">
        <v>495</v>
      </c>
      <c r="G15" s="30">
        <f t="shared" si="0"/>
        <v>0.16161616161616163</v>
      </c>
      <c r="H15" s="29">
        <v>1300</v>
      </c>
      <c r="I15" s="31">
        <f t="shared" si="1"/>
        <v>26.262626262626267</v>
      </c>
      <c r="K15" s="76"/>
      <c r="L15" s="76"/>
    </row>
    <row r="16" spans="1:12" ht="25" customHeight="1" x14ac:dyDescent="0.3">
      <c r="A16" s="110"/>
      <c r="B16" s="20" t="s">
        <v>43</v>
      </c>
      <c r="C16" s="11">
        <v>0</v>
      </c>
      <c r="D16" s="12">
        <v>1</v>
      </c>
      <c r="E16" s="12">
        <v>1</v>
      </c>
      <c r="F16" s="29">
        <v>38</v>
      </c>
      <c r="G16" s="30">
        <f t="shared" si="0"/>
        <v>2.6315789473684209E-2</v>
      </c>
      <c r="H16" s="29">
        <v>2800</v>
      </c>
      <c r="I16" s="31">
        <f t="shared" si="1"/>
        <v>0</v>
      </c>
      <c r="K16" s="76"/>
      <c r="L16" s="76"/>
    </row>
    <row r="17" spans="1:11" ht="25" customHeight="1" x14ac:dyDescent="0.3">
      <c r="A17" s="111"/>
      <c r="B17" s="20" t="s">
        <v>18</v>
      </c>
      <c r="C17" s="11">
        <v>0</v>
      </c>
      <c r="D17" s="12">
        <v>17</v>
      </c>
      <c r="E17" s="12">
        <v>17</v>
      </c>
      <c r="F17" s="29">
        <v>31</v>
      </c>
      <c r="G17" s="30">
        <f t="shared" si="0"/>
        <v>0.54838709677419351</v>
      </c>
      <c r="H17" s="29">
        <v>230</v>
      </c>
      <c r="I17" s="31">
        <f t="shared" si="1"/>
        <v>0</v>
      </c>
    </row>
    <row r="18" spans="1:11" s="39" customFormat="1" ht="5" customHeight="1" x14ac:dyDescent="0.3">
      <c r="A18" s="49"/>
      <c r="B18" s="56"/>
      <c r="C18" s="50"/>
      <c r="D18" s="51"/>
      <c r="E18" s="51"/>
      <c r="F18" s="52"/>
      <c r="G18" s="53"/>
      <c r="H18" s="52"/>
      <c r="I18" s="54"/>
    </row>
    <row r="19" spans="1:11" ht="25" customHeight="1" x14ac:dyDescent="0.3">
      <c r="A19" s="113" t="s">
        <v>19</v>
      </c>
      <c r="B19" s="21" t="s">
        <v>36</v>
      </c>
      <c r="C19" s="11">
        <v>0</v>
      </c>
      <c r="D19" s="12">
        <v>8</v>
      </c>
      <c r="E19" s="12">
        <v>8</v>
      </c>
      <c r="F19" s="29">
        <v>10</v>
      </c>
      <c r="G19" s="30">
        <f t="shared" si="0"/>
        <v>0.8</v>
      </c>
      <c r="H19" s="29">
        <v>550</v>
      </c>
      <c r="I19" s="31">
        <f t="shared" si="1"/>
        <v>0</v>
      </c>
    </row>
    <row r="20" spans="1:11" ht="25" customHeight="1" x14ac:dyDescent="0.3">
      <c r="A20" s="114"/>
      <c r="B20" s="21" t="s">
        <v>26</v>
      </c>
      <c r="C20" s="11">
        <v>91</v>
      </c>
      <c r="D20" s="12">
        <v>91</v>
      </c>
      <c r="E20" s="12">
        <v>91</v>
      </c>
      <c r="F20" s="29">
        <v>107</v>
      </c>
      <c r="G20" s="30">
        <f t="shared" si="0"/>
        <v>0</v>
      </c>
      <c r="H20" s="29">
        <v>500</v>
      </c>
      <c r="I20" s="31">
        <f t="shared" si="1"/>
        <v>0</v>
      </c>
    </row>
    <row r="21" spans="1:11" ht="25" customHeight="1" x14ac:dyDescent="0.3">
      <c r="A21" s="115"/>
      <c r="B21" s="21" t="s">
        <v>33</v>
      </c>
      <c r="C21" s="11">
        <v>0</v>
      </c>
      <c r="D21" s="12">
        <v>0</v>
      </c>
      <c r="E21" s="12">
        <v>0</v>
      </c>
      <c r="F21" s="29">
        <v>28</v>
      </c>
      <c r="G21" s="30">
        <f t="shared" si="0"/>
        <v>0</v>
      </c>
      <c r="H21" s="29">
        <v>2700</v>
      </c>
      <c r="I21" s="31">
        <f t="shared" si="1"/>
        <v>0</v>
      </c>
    </row>
    <row r="22" spans="1:11" s="39" customFormat="1" ht="5" customHeight="1" x14ac:dyDescent="0.3">
      <c r="A22" s="49"/>
      <c r="B22" s="57"/>
      <c r="C22" s="50"/>
      <c r="D22" s="51"/>
      <c r="E22" s="51"/>
      <c r="F22" s="52"/>
      <c r="G22" s="53"/>
      <c r="H22" s="52"/>
      <c r="I22" s="54"/>
    </row>
    <row r="23" spans="1:11" ht="25" customHeight="1" x14ac:dyDescent="0.3">
      <c r="A23" s="97" t="s">
        <v>22</v>
      </c>
      <c r="B23" s="22" t="s">
        <v>32</v>
      </c>
      <c r="C23" s="11">
        <v>0</v>
      </c>
      <c r="D23" s="12">
        <v>4.0999999999999996</v>
      </c>
      <c r="E23" s="12">
        <v>4.0999999999999996</v>
      </c>
      <c r="F23" s="29">
        <v>28</v>
      </c>
      <c r="G23" s="30">
        <f t="shared" si="0"/>
        <v>0.14642857142857141</v>
      </c>
      <c r="H23" s="29">
        <v>2500</v>
      </c>
      <c r="I23" s="31">
        <f t="shared" si="1"/>
        <v>0</v>
      </c>
    </row>
    <row r="24" spans="1:11" ht="25" customHeight="1" x14ac:dyDescent="0.3">
      <c r="A24" s="98"/>
      <c r="B24" s="22" t="s">
        <v>37</v>
      </c>
      <c r="C24" s="11">
        <v>0</v>
      </c>
      <c r="D24" s="12">
        <v>4</v>
      </c>
      <c r="E24" s="12">
        <v>3.5</v>
      </c>
      <c r="F24" s="29">
        <v>10</v>
      </c>
      <c r="G24" s="30">
        <f t="shared" si="0"/>
        <v>0.4</v>
      </c>
      <c r="H24" s="29">
        <v>450</v>
      </c>
      <c r="I24" s="31">
        <f t="shared" si="1"/>
        <v>22.5</v>
      </c>
    </row>
    <row r="25" spans="1:11" s="39" customFormat="1" ht="5" customHeight="1" x14ac:dyDescent="0.3">
      <c r="A25" s="49"/>
      <c r="B25" s="58"/>
      <c r="C25" s="50"/>
      <c r="D25" s="51"/>
      <c r="E25" s="51"/>
      <c r="F25" s="52"/>
      <c r="G25" s="53"/>
      <c r="H25" s="52"/>
      <c r="I25" s="54"/>
    </row>
    <row r="26" spans="1:11" ht="25" customHeight="1" x14ac:dyDescent="0.3">
      <c r="A26" s="99" t="s">
        <v>24</v>
      </c>
      <c r="B26" s="23" t="s">
        <v>34</v>
      </c>
      <c r="C26" s="11">
        <v>72</v>
      </c>
      <c r="D26" s="12">
        <v>72</v>
      </c>
      <c r="E26" s="12">
        <v>72</v>
      </c>
      <c r="F26" s="29">
        <v>103</v>
      </c>
      <c r="G26" s="30">
        <f t="shared" si="0"/>
        <v>0</v>
      </c>
      <c r="H26" s="29">
        <v>630</v>
      </c>
      <c r="I26" s="31">
        <f t="shared" si="1"/>
        <v>0</v>
      </c>
      <c r="K26" s="68"/>
    </row>
    <row r="27" spans="1:11" ht="25" customHeight="1" x14ac:dyDescent="0.3">
      <c r="A27" s="100"/>
      <c r="B27" s="23" t="s">
        <v>38</v>
      </c>
      <c r="C27" s="11">
        <v>0</v>
      </c>
      <c r="D27" s="12">
        <v>6</v>
      </c>
      <c r="E27" s="12">
        <v>5</v>
      </c>
      <c r="F27" s="29">
        <v>10</v>
      </c>
      <c r="G27" s="30">
        <f t="shared" si="0"/>
        <v>0.6</v>
      </c>
      <c r="H27" s="29">
        <v>450</v>
      </c>
      <c r="I27" s="31">
        <f t="shared" si="1"/>
        <v>45</v>
      </c>
    </row>
    <row r="28" spans="1:11" ht="25" customHeight="1" x14ac:dyDescent="0.3">
      <c r="A28" s="101"/>
      <c r="B28" s="24" t="s">
        <v>40</v>
      </c>
      <c r="C28" s="13">
        <v>0</v>
      </c>
      <c r="D28" s="14">
        <v>0</v>
      </c>
      <c r="E28" s="14">
        <v>0</v>
      </c>
      <c r="F28" s="32">
        <v>28</v>
      </c>
      <c r="G28" s="33">
        <f t="shared" si="0"/>
        <v>0</v>
      </c>
      <c r="H28" s="32">
        <v>2300</v>
      </c>
      <c r="I28" s="34">
        <f t="shared" si="1"/>
        <v>0</v>
      </c>
    </row>
    <row r="29" spans="1:11" s="39" customFormat="1" ht="5" customHeight="1" x14ac:dyDescent="0.3">
      <c r="A29" s="42"/>
      <c r="B29" s="43"/>
      <c r="C29" s="44"/>
      <c r="D29" s="45"/>
      <c r="E29" s="45"/>
      <c r="F29" s="46"/>
      <c r="G29" s="47"/>
      <c r="H29" s="46"/>
      <c r="I29" s="48"/>
    </row>
  </sheetData>
  <mergeCells count="8">
    <mergeCell ref="A23:A24"/>
    <mergeCell ref="A26:A28"/>
    <mergeCell ref="K2:L3"/>
    <mergeCell ref="A3:A6"/>
    <mergeCell ref="A8:A10"/>
    <mergeCell ref="A12:A17"/>
    <mergeCell ref="K12:L12"/>
    <mergeCell ref="A19:A21"/>
  </mergeCells>
  <phoneticPr fontId="1" type="noConversion"/>
  <conditionalFormatting sqref="G3:G6 G8:G2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{42C81A84-38E3-4E6A-874D-64022DBEB6FE}</x14:id>
        </ext>
      </extLst>
    </cfRule>
  </conditionalFormatting>
  <conditionalFormatting sqref="G19:G22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{2BC5C784-97A6-40DC-B1DE-B2099783455F}</x14:id>
        </ext>
      </extLst>
    </cfRule>
  </conditionalFormatting>
  <conditionalFormatting sqref="G23:G25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{8E748C77-2CE9-40B5-85BC-8CDB70FD8AA8}</x14:id>
        </ext>
      </extLst>
    </cfRule>
  </conditionalFormatting>
  <conditionalFormatting sqref="G26:G29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{78BB96F8-1CE6-42D4-BF77-B1CA4155AF21}</x14:id>
        </ext>
      </extLst>
    </cfRule>
  </conditionalFormatting>
  <conditionalFormatting sqref="G8:G10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{CE764CA9-9C43-446A-9A31-F6B835C89F7B}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{4176FBDD-16D3-4A06-A2A4-796AA55D9486}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{DEC441D0-76AD-428C-BA8B-50B0161D9724}</x14:id>
        </ext>
      </extLst>
    </cfRule>
  </conditionalFormatting>
  <conditionalFormatting sqref="G12:G17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{257A830E-C675-4391-B9D1-4CE0BEB60F8B}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C81A84-38E3-4E6A-874D-64022DBEB6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G8:G29</xm:sqref>
        </x14:conditionalFormatting>
        <x14:conditionalFormatting xmlns:xm="http://schemas.microsoft.com/office/excel/2006/main">
          <x14:cfRule type="dataBar" id="{2BC5C784-97A6-40DC-B1DE-B209978345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G19:G22</xm:sqref>
        </x14:conditionalFormatting>
        <x14:conditionalFormatting xmlns:xm="http://schemas.microsoft.com/office/excel/2006/main">
          <x14:cfRule type="dataBar" id="{8E748C77-2CE9-40B5-85BC-8CDB70FD8A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G23:G25</xm:sqref>
        </x14:conditionalFormatting>
        <x14:conditionalFormatting xmlns:xm="http://schemas.microsoft.com/office/excel/2006/main">
          <x14:cfRule type="dataBar" id="{78BB96F8-1CE6-42D4-BF77-B1CA4155AF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G26:G29</xm:sqref>
        </x14:conditionalFormatting>
        <x14:conditionalFormatting xmlns:xm="http://schemas.microsoft.com/office/excel/2006/main">
          <x14:cfRule type="dataBar" id="{CE764CA9-9C43-446A-9A31-F6B835C89F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176FBDD-16D3-4A06-A2A4-796AA55D94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EC441D0-76AD-428C-BA8B-50B0161D97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G8:G10</xm:sqref>
        </x14:conditionalFormatting>
        <x14:conditionalFormatting xmlns:xm="http://schemas.microsoft.com/office/excel/2006/main">
          <x14:cfRule type="dataBar" id="{257A830E-C675-4391-B9D1-4CE0BEB60F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G12:G17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13E6E-1F5A-456E-8CB1-C6D122C481E8}">
  <sheetPr codeName="Sheet6">
    <pageSetUpPr fitToPage="1"/>
  </sheetPr>
  <dimension ref="A1:L28"/>
  <sheetViews>
    <sheetView zoomScaleNormal="100" workbookViewId="0"/>
  </sheetViews>
  <sheetFormatPr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0" max="10" width="11.5820312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ROUND(SUM(I3:I39),0)&amp;"+"</f>
        <v>475+</v>
      </c>
      <c r="L2" s="116"/>
    </row>
    <row r="3" spans="1:12" ht="25" customHeight="1" x14ac:dyDescent="0.3">
      <c r="A3" s="103" t="s">
        <v>7</v>
      </c>
      <c r="B3" s="18" t="s">
        <v>13</v>
      </c>
      <c r="C3" s="11">
        <v>0</v>
      </c>
      <c r="D3" s="12">
        <v>5.7</v>
      </c>
      <c r="E3" s="12">
        <v>4</v>
      </c>
      <c r="F3" s="29">
        <v>13</v>
      </c>
      <c r="G3" s="30">
        <f>(D3-C3)/(F3-C3)</f>
        <v>0.43846153846153846</v>
      </c>
      <c r="H3" s="29">
        <v>700</v>
      </c>
      <c r="I3" s="31">
        <f>((D3-E3)/F3)*H3</f>
        <v>91.538461538461547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6.5</v>
      </c>
      <c r="E4" s="60">
        <v>6</v>
      </c>
      <c r="F4" s="59">
        <v>65</v>
      </c>
      <c r="G4" s="30">
        <f t="shared" ref="G4:G27" si="0">(D4-C4)/(F4-C4)</f>
        <v>0.1</v>
      </c>
      <c r="H4" s="29">
        <v>1800</v>
      </c>
      <c r="I4" s="31">
        <f t="shared" ref="I4:I27" si="1">((D4-E4)/F4)*H4</f>
        <v>13.846153846153847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44750</v>
      </c>
      <c r="L5" s="7">
        <v>0.87986111111111109</v>
      </c>
    </row>
    <row r="6" spans="1:12" ht="25" customHeight="1" x14ac:dyDescent="0.3">
      <c r="A6" s="105"/>
      <c r="B6" s="18" t="s">
        <v>44</v>
      </c>
      <c r="C6" s="70">
        <v>5106</v>
      </c>
      <c r="D6" s="71">
        <v>7100</v>
      </c>
      <c r="E6" s="71">
        <v>7100</v>
      </c>
      <c r="F6" s="72">
        <v>13712</v>
      </c>
      <c r="G6" s="30">
        <f t="shared" si="0"/>
        <v>0.23169881478038579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107"/>
      <c r="B9" s="19" t="s">
        <v>45</v>
      </c>
      <c r="C9" s="11"/>
      <c r="D9" s="12" t="s">
        <v>41</v>
      </c>
      <c r="E9" s="12"/>
      <c r="F9" s="29"/>
      <c r="G9" s="77"/>
      <c r="H9" s="29"/>
      <c r="I9" s="31">
        <v>150</v>
      </c>
    </row>
    <row r="10" spans="1:12" ht="25" customHeight="1" x14ac:dyDescent="0.3">
      <c r="A10" s="108"/>
      <c r="B10" s="19" t="s">
        <v>16</v>
      </c>
      <c r="C10" s="11">
        <v>0</v>
      </c>
      <c r="D10" s="12">
        <v>0</v>
      </c>
      <c r="E10" s="12">
        <v>0</v>
      </c>
      <c r="F10" s="29">
        <v>38</v>
      </c>
      <c r="G10" s="30">
        <f t="shared" si="0"/>
        <v>0</v>
      </c>
      <c r="H10" s="29">
        <v>6000</v>
      </c>
      <c r="I10" s="31">
        <f t="shared" si="1"/>
        <v>0</v>
      </c>
      <c r="J10" s="1" t="s">
        <v>30</v>
      </c>
      <c r="K10" s="9"/>
      <c r="L10" s="75"/>
    </row>
    <row r="11" spans="1:12" s="39" customFormat="1" ht="5" customHeight="1" x14ac:dyDescent="0.3">
      <c r="A11" s="49"/>
      <c r="B11" s="55"/>
      <c r="C11" s="50"/>
      <c r="D11" s="51"/>
      <c r="E11" s="51"/>
      <c r="F11" s="52"/>
      <c r="G11" s="53"/>
      <c r="H11" s="52"/>
      <c r="I11" s="54"/>
      <c r="J11" s="36"/>
      <c r="K11" s="40"/>
      <c r="L11" s="41"/>
    </row>
    <row r="12" spans="1:12" ht="25" customHeight="1" x14ac:dyDescent="0.3">
      <c r="A12" s="109" t="s">
        <v>9</v>
      </c>
      <c r="B12" s="20" t="s">
        <v>17</v>
      </c>
      <c r="C12" s="11">
        <v>0</v>
      </c>
      <c r="D12" s="12">
        <v>8</v>
      </c>
      <c r="E12" s="12">
        <v>7</v>
      </c>
      <c r="F12" s="29">
        <v>12</v>
      </c>
      <c r="G12" s="30">
        <f t="shared" si="0"/>
        <v>0.66666666666666663</v>
      </c>
      <c r="H12" s="29">
        <v>400</v>
      </c>
      <c r="I12" s="31">
        <f t="shared" si="1"/>
        <v>33.333333333333329</v>
      </c>
      <c r="K12" s="112"/>
      <c r="L12" s="112"/>
    </row>
    <row r="13" spans="1:12" ht="25" customHeight="1" x14ac:dyDescent="0.3">
      <c r="A13" s="110"/>
      <c r="B13" s="20" t="s">
        <v>42</v>
      </c>
      <c r="C13" s="11">
        <v>0</v>
      </c>
      <c r="D13" s="12">
        <v>6</v>
      </c>
      <c r="E13" s="12">
        <v>4</v>
      </c>
      <c r="F13" s="29">
        <v>17</v>
      </c>
      <c r="G13" s="30">
        <f t="shared" si="0"/>
        <v>0.35294117647058826</v>
      </c>
      <c r="H13" s="29">
        <v>350</v>
      </c>
      <c r="I13" s="31">
        <f t="shared" si="1"/>
        <v>41.176470588235297</v>
      </c>
      <c r="K13" s="75"/>
      <c r="L13" s="75"/>
    </row>
    <row r="14" spans="1:12" ht="25" customHeight="1" x14ac:dyDescent="0.3">
      <c r="A14" s="110"/>
      <c r="B14" s="20" t="s">
        <v>39</v>
      </c>
      <c r="C14" s="11">
        <v>0</v>
      </c>
      <c r="D14" s="12" t="s">
        <v>41</v>
      </c>
      <c r="E14" s="12" t="s">
        <v>41</v>
      </c>
      <c r="F14" s="29"/>
      <c r="G14" s="67"/>
      <c r="H14" s="29"/>
      <c r="I14" s="31"/>
      <c r="K14" s="75"/>
      <c r="L14" s="75"/>
    </row>
    <row r="15" spans="1:12" ht="25" customHeight="1" x14ac:dyDescent="0.3">
      <c r="A15" s="110"/>
      <c r="B15" s="20" t="s">
        <v>43</v>
      </c>
      <c r="C15" s="11">
        <v>0</v>
      </c>
      <c r="D15" s="12">
        <v>1</v>
      </c>
      <c r="E15" s="12">
        <v>1</v>
      </c>
      <c r="F15" s="29">
        <v>38</v>
      </c>
      <c r="G15" s="30">
        <f t="shared" si="0"/>
        <v>2.6315789473684209E-2</v>
      </c>
      <c r="H15" s="29">
        <v>2800</v>
      </c>
      <c r="I15" s="31">
        <f t="shared" si="1"/>
        <v>0</v>
      </c>
      <c r="K15" s="75"/>
      <c r="L15" s="75"/>
    </row>
    <row r="16" spans="1:12" ht="25" customHeight="1" x14ac:dyDescent="0.3">
      <c r="A16" s="111"/>
      <c r="B16" s="20" t="s">
        <v>18</v>
      </c>
      <c r="C16" s="11">
        <v>0</v>
      </c>
      <c r="D16" s="12">
        <v>17</v>
      </c>
      <c r="E16" s="12">
        <v>14</v>
      </c>
      <c r="F16" s="29">
        <v>31</v>
      </c>
      <c r="G16" s="30">
        <f t="shared" si="0"/>
        <v>0.54838709677419351</v>
      </c>
      <c r="H16" s="29">
        <v>230</v>
      </c>
      <c r="I16" s="31">
        <f t="shared" si="1"/>
        <v>22.258064516129032</v>
      </c>
    </row>
    <row r="17" spans="1:11" s="39" customFormat="1" ht="5" customHeight="1" x14ac:dyDescent="0.3">
      <c r="A17" s="49"/>
      <c r="B17" s="56"/>
      <c r="C17" s="50"/>
      <c r="D17" s="51"/>
      <c r="E17" s="51"/>
      <c r="F17" s="52"/>
      <c r="G17" s="53"/>
      <c r="H17" s="52"/>
      <c r="I17" s="54"/>
    </row>
    <row r="18" spans="1:11" ht="25" customHeight="1" x14ac:dyDescent="0.3">
      <c r="A18" s="113" t="s">
        <v>19</v>
      </c>
      <c r="B18" s="21" t="s">
        <v>36</v>
      </c>
      <c r="C18" s="11">
        <v>0</v>
      </c>
      <c r="D18" s="12">
        <v>8</v>
      </c>
      <c r="E18" s="12">
        <v>7</v>
      </c>
      <c r="F18" s="29">
        <v>10</v>
      </c>
      <c r="G18" s="30">
        <f t="shared" si="0"/>
        <v>0.8</v>
      </c>
      <c r="H18" s="29">
        <v>550</v>
      </c>
      <c r="I18" s="31">
        <f t="shared" si="1"/>
        <v>55</v>
      </c>
    </row>
    <row r="19" spans="1:11" ht="25" customHeight="1" x14ac:dyDescent="0.3">
      <c r="A19" s="114"/>
      <c r="B19" s="21" t="s">
        <v>26</v>
      </c>
      <c r="C19" s="11">
        <v>91</v>
      </c>
      <c r="D19" s="12">
        <v>91</v>
      </c>
      <c r="E19" s="12">
        <v>91</v>
      </c>
      <c r="F19" s="29">
        <v>107</v>
      </c>
      <c r="G19" s="30">
        <f t="shared" si="0"/>
        <v>0</v>
      </c>
      <c r="H19" s="29">
        <v>500</v>
      </c>
      <c r="I19" s="31">
        <f t="shared" si="1"/>
        <v>0</v>
      </c>
    </row>
    <row r="20" spans="1:11" ht="25" customHeight="1" x14ac:dyDescent="0.3">
      <c r="A20" s="115"/>
      <c r="B20" s="21" t="s">
        <v>33</v>
      </c>
      <c r="C20" s="11">
        <v>0</v>
      </c>
      <c r="D20" s="12">
        <v>0</v>
      </c>
      <c r="E20" s="12">
        <v>0</v>
      </c>
      <c r="F20" s="29">
        <v>28</v>
      </c>
      <c r="G20" s="30">
        <f t="shared" si="0"/>
        <v>0</v>
      </c>
      <c r="H20" s="29">
        <v>2700</v>
      </c>
      <c r="I20" s="31">
        <f t="shared" si="1"/>
        <v>0</v>
      </c>
    </row>
    <row r="21" spans="1:11" s="39" customFormat="1" ht="5" customHeight="1" x14ac:dyDescent="0.3">
      <c r="A21" s="49"/>
      <c r="B21" s="57"/>
      <c r="C21" s="50"/>
      <c r="D21" s="51"/>
      <c r="E21" s="51"/>
      <c r="F21" s="52"/>
      <c r="G21" s="53"/>
      <c r="H21" s="52"/>
      <c r="I21" s="54"/>
    </row>
    <row r="22" spans="1:11" ht="25" customHeight="1" x14ac:dyDescent="0.3">
      <c r="A22" s="97" t="s">
        <v>22</v>
      </c>
      <c r="B22" s="22" t="s">
        <v>32</v>
      </c>
      <c r="C22" s="11">
        <v>0</v>
      </c>
      <c r="D22" s="12">
        <v>4.0999999999999996</v>
      </c>
      <c r="E22" s="12">
        <v>4.0999999999999996</v>
      </c>
      <c r="F22" s="29">
        <v>28</v>
      </c>
      <c r="G22" s="30">
        <f t="shared" si="0"/>
        <v>0.14642857142857141</v>
      </c>
      <c r="H22" s="29">
        <v>2500</v>
      </c>
      <c r="I22" s="31">
        <f t="shared" si="1"/>
        <v>0</v>
      </c>
    </row>
    <row r="23" spans="1:11" ht="25" customHeight="1" x14ac:dyDescent="0.3">
      <c r="A23" s="98"/>
      <c r="B23" s="22" t="s">
        <v>37</v>
      </c>
      <c r="C23" s="11">
        <v>0</v>
      </c>
      <c r="D23" s="12">
        <v>3.5</v>
      </c>
      <c r="E23" s="12">
        <v>3</v>
      </c>
      <c r="F23" s="29">
        <v>10</v>
      </c>
      <c r="G23" s="30">
        <f t="shared" si="0"/>
        <v>0.35</v>
      </c>
      <c r="H23" s="29">
        <v>450</v>
      </c>
      <c r="I23" s="31">
        <f t="shared" si="1"/>
        <v>22.5</v>
      </c>
    </row>
    <row r="24" spans="1:11" s="39" customFormat="1" ht="5" customHeight="1" x14ac:dyDescent="0.3">
      <c r="A24" s="49"/>
      <c r="B24" s="58"/>
      <c r="C24" s="50"/>
      <c r="D24" s="51"/>
      <c r="E24" s="51"/>
      <c r="F24" s="52"/>
      <c r="G24" s="53"/>
      <c r="H24" s="52"/>
      <c r="I24" s="54"/>
    </row>
    <row r="25" spans="1:11" ht="25" customHeight="1" x14ac:dyDescent="0.3">
      <c r="A25" s="99" t="s">
        <v>24</v>
      </c>
      <c r="B25" s="23" t="s">
        <v>34</v>
      </c>
      <c r="C25" s="11">
        <v>72</v>
      </c>
      <c r="D25" s="12">
        <v>72</v>
      </c>
      <c r="E25" s="12">
        <v>72</v>
      </c>
      <c r="F25" s="29">
        <v>103</v>
      </c>
      <c r="G25" s="30">
        <f t="shared" si="0"/>
        <v>0</v>
      </c>
      <c r="H25" s="29">
        <v>630</v>
      </c>
      <c r="I25" s="31">
        <f t="shared" si="1"/>
        <v>0</v>
      </c>
      <c r="K25" s="68"/>
    </row>
    <row r="26" spans="1:11" ht="25" customHeight="1" x14ac:dyDescent="0.3">
      <c r="A26" s="100"/>
      <c r="B26" s="23" t="s">
        <v>38</v>
      </c>
      <c r="C26" s="11">
        <v>0</v>
      </c>
      <c r="D26" s="12">
        <v>5</v>
      </c>
      <c r="E26" s="12">
        <v>4</v>
      </c>
      <c r="F26" s="29">
        <v>10</v>
      </c>
      <c r="G26" s="30">
        <f t="shared" si="0"/>
        <v>0.5</v>
      </c>
      <c r="H26" s="29">
        <v>450</v>
      </c>
      <c r="I26" s="31">
        <f t="shared" si="1"/>
        <v>45</v>
      </c>
    </row>
    <row r="27" spans="1:11" ht="25" customHeight="1" x14ac:dyDescent="0.3">
      <c r="A27" s="101"/>
      <c r="B27" s="24" t="s">
        <v>40</v>
      </c>
      <c r="C27" s="13">
        <v>0</v>
      </c>
      <c r="D27" s="14">
        <v>0</v>
      </c>
      <c r="E27" s="14">
        <v>0</v>
      </c>
      <c r="F27" s="32">
        <v>28</v>
      </c>
      <c r="G27" s="33">
        <f t="shared" si="0"/>
        <v>0</v>
      </c>
      <c r="H27" s="32">
        <v>2300</v>
      </c>
      <c r="I27" s="34">
        <f t="shared" si="1"/>
        <v>0</v>
      </c>
    </row>
    <row r="28" spans="1:11" s="39" customFormat="1" ht="5" customHeight="1" x14ac:dyDescent="0.3">
      <c r="A28" s="42"/>
      <c r="B28" s="43"/>
      <c r="C28" s="44"/>
      <c r="D28" s="45"/>
      <c r="E28" s="45"/>
      <c r="F28" s="46"/>
      <c r="G28" s="47"/>
      <c r="H28" s="46"/>
      <c r="I28" s="48"/>
    </row>
  </sheetData>
  <mergeCells count="8">
    <mergeCell ref="A22:A23"/>
    <mergeCell ref="A25:A27"/>
    <mergeCell ref="K2:L3"/>
    <mergeCell ref="A3:A6"/>
    <mergeCell ref="A8:A10"/>
    <mergeCell ref="A12:A16"/>
    <mergeCell ref="K12:L12"/>
    <mergeCell ref="A18:A20"/>
  </mergeCells>
  <phoneticPr fontId="1" type="noConversion"/>
  <conditionalFormatting sqref="G8:G28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{084BCACF-0904-4DEE-A5C3-F737A7189807}</x14:id>
        </ext>
      </extLst>
    </cfRule>
  </conditionalFormatting>
  <conditionalFormatting sqref="G18:G21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{BD621FFA-471D-40E5-AA07-3551F0CF953F}</x14:id>
        </ext>
      </extLst>
    </cfRule>
  </conditionalFormatting>
  <conditionalFormatting sqref="G22:G24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{5EA7BA2F-D7F4-4BCE-BA06-87E119265899}</x14:id>
        </ext>
      </extLst>
    </cfRule>
  </conditionalFormatting>
  <conditionalFormatting sqref="G25:G28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{022BB9E4-2CF7-456A-96E7-682AC2D365B1}</x14:id>
        </ext>
      </extLst>
    </cfRule>
  </conditionalFormatting>
  <conditionalFormatting sqref="G8:G10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{160BA154-1CCD-443E-B64C-AA1CB9BB12A6}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{45032453-1D45-484D-A1E6-F94A28041D44}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{065E081E-4C77-4A88-826D-6F14001D92DB}</x14:id>
        </ext>
      </extLst>
    </cfRule>
  </conditionalFormatting>
  <conditionalFormatting sqref="G12:G16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{680E6D1D-B143-410D-96F7-08DDCD53CE88}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4BCACF-0904-4DEE-A5C3-F737A71898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G8:G28 G3:G6</xm:sqref>
        </x14:conditionalFormatting>
        <x14:conditionalFormatting xmlns:xm="http://schemas.microsoft.com/office/excel/2006/main">
          <x14:cfRule type="dataBar" id="{BD621FFA-471D-40E5-AA07-3551F0CF95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G18:G21</xm:sqref>
        </x14:conditionalFormatting>
        <x14:conditionalFormatting xmlns:xm="http://schemas.microsoft.com/office/excel/2006/main">
          <x14:cfRule type="dataBar" id="{5EA7BA2F-D7F4-4BCE-BA06-87E119265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</xm:sqref>
        </x14:conditionalFormatting>
        <x14:conditionalFormatting xmlns:xm="http://schemas.microsoft.com/office/excel/2006/main">
          <x14:cfRule type="dataBar" id="{022BB9E4-2CF7-456A-96E7-682AC2D365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G25:G28</xm:sqref>
        </x14:conditionalFormatting>
        <x14:conditionalFormatting xmlns:xm="http://schemas.microsoft.com/office/excel/2006/main">
          <x14:cfRule type="dataBar" id="{160BA154-1CCD-443E-B64C-AA1CB9BB12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5032453-1D45-484D-A1E6-F94A28041D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65E081E-4C77-4A88-826D-6F14001D92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G8:G10</xm:sqref>
        </x14:conditionalFormatting>
        <x14:conditionalFormatting xmlns:xm="http://schemas.microsoft.com/office/excel/2006/main">
          <x14:cfRule type="dataBar" id="{680E6D1D-B143-410D-96F7-08DDCD53CE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G12:G16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0D27-522F-4F5D-88FA-3B0F43F90ABA}">
  <sheetPr codeName="Sheet5">
    <pageSetUpPr fitToPage="1"/>
  </sheetPr>
  <dimension ref="A1:L27"/>
  <sheetViews>
    <sheetView zoomScaleNormal="100" workbookViewId="0"/>
  </sheetViews>
  <sheetFormatPr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0" max="10" width="11.5820312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ROUND(SUM(I3:I38),0)&amp;"+"</f>
        <v>454+</v>
      </c>
      <c r="L2" s="116"/>
    </row>
    <row r="3" spans="1:12" ht="25" customHeight="1" x14ac:dyDescent="0.3">
      <c r="A3" s="103" t="s">
        <v>7</v>
      </c>
      <c r="B3" s="18" t="s">
        <v>13</v>
      </c>
      <c r="C3" s="11">
        <v>0</v>
      </c>
      <c r="D3" s="12">
        <v>4</v>
      </c>
      <c r="E3" s="12">
        <v>3</v>
      </c>
      <c r="F3" s="29">
        <v>13</v>
      </c>
      <c r="G3" s="30">
        <f>(D3-C3)/(F3-C3)</f>
        <v>0.30769230769230771</v>
      </c>
      <c r="H3" s="29">
        <v>700</v>
      </c>
      <c r="I3" s="31">
        <f>((D3-E3)/F3)*H3</f>
        <v>53.846153846153847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6</v>
      </c>
      <c r="E4" s="60">
        <v>5</v>
      </c>
      <c r="F4" s="59">
        <v>65</v>
      </c>
      <c r="G4" s="30">
        <f t="shared" ref="G4:G26" si="0">(D4-C4)/(F4-C4)</f>
        <v>9.2307692307692313E-2</v>
      </c>
      <c r="H4" s="29">
        <v>1800</v>
      </c>
      <c r="I4" s="31">
        <f t="shared" ref="I4:I26" si="1">((D4-E4)/F4)*H4</f>
        <v>27.692307692307693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44749</v>
      </c>
      <c r="L5" s="7">
        <v>0.8979166666666667</v>
      </c>
    </row>
    <row r="6" spans="1:12" ht="25" customHeight="1" x14ac:dyDescent="0.3">
      <c r="A6" s="105"/>
      <c r="B6" s="18" t="s">
        <v>44</v>
      </c>
      <c r="C6" s="70">
        <v>5106</v>
      </c>
      <c r="D6" s="71">
        <v>7100</v>
      </c>
      <c r="E6" s="71">
        <v>6183</v>
      </c>
      <c r="F6" s="72">
        <v>13712</v>
      </c>
      <c r="G6" s="30">
        <f t="shared" si="0"/>
        <v>0.23169881478038579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106" t="s">
        <v>8</v>
      </c>
      <c r="B8" s="19" t="s">
        <v>15</v>
      </c>
      <c r="C8" s="11">
        <v>0</v>
      </c>
      <c r="D8" s="12">
        <v>8</v>
      </c>
      <c r="E8" s="12">
        <v>5</v>
      </c>
      <c r="F8" s="29">
        <v>8</v>
      </c>
      <c r="G8" s="30">
        <f t="shared" si="0"/>
        <v>1</v>
      </c>
      <c r="H8" s="29">
        <v>500</v>
      </c>
      <c r="I8" s="31">
        <f t="shared" si="1"/>
        <v>187.5</v>
      </c>
    </row>
    <row r="9" spans="1:12" ht="25" customHeight="1" x14ac:dyDescent="0.3">
      <c r="A9" s="108"/>
      <c r="B9" s="19" t="s">
        <v>16</v>
      </c>
      <c r="C9" s="11">
        <v>0</v>
      </c>
      <c r="D9" s="12">
        <v>0</v>
      </c>
      <c r="E9" s="12">
        <v>0</v>
      </c>
      <c r="F9" s="29">
        <v>38</v>
      </c>
      <c r="G9" s="30">
        <f t="shared" si="0"/>
        <v>0</v>
      </c>
      <c r="H9" s="29">
        <v>6000</v>
      </c>
      <c r="I9" s="31">
        <f t="shared" si="1"/>
        <v>0</v>
      </c>
      <c r="J9" s="1" t="s">
        <v>30</v>
      </c>
      <c r="K9" s="9"/>
      <c r="L9" s="74"/>
    </row>
    <row r="10" spans="1:12" s="39" customFormat="1" ht="5" customHeight="1" x14ac:dyDescent="0.3">
      <c r="A10" s="49"/>
      <c r="B10" s="55"/>
      <c r="C10" s="50"/>
      <c r="D10" s="51"/>
      <c r="E10" s="51"/>
      <c r="F10" s="52"/>
      <c r="G10" s="53"/>
      <c r="H10" s="52"/>
      <c r="I10" s="54"/>
      <c r="J10" s="36"/>
      <c r="K10" s="40"/>
      <c r="L10" s="41"/>
    </row>
    <row r="11" spans="1:12" ht="25" customHeight="1" x14ac:dyDescent="0.3">
      <c r="A11" s="109" t="s">
        <v>9</v>
      </c>
      <c r="B11" s="20" t="s">
        <v>17</v>
      </c>
      <c r="C11" s="11">
        <v>0</v>
      </c>
      <c r="D11" s="12">
        <v>7</v>
      </c>
      <c r="E11" s="12">
        <v>6</v>
      </c>
      <c r="F11" s="29">
        <v>12</v>
      </c>
      <c r="G11" s="30">
        <f t="shared" si="0"/>
        <v>0.58333333333333337</v>
      </c>
      <c r="H11" s="29">
        <v>400</v>
      </c>
      <c r="I11" s="31">
        <f t="shared" si="1"/>
        <v>33.333333333333329</v>
      </c>
      <c r="K11" s="112"/>
      <c r="L11" s="112"/>
    </row>
    <row r="12" spans="1:12" ht="25" customHeight="1" x14ac:dyDescent="0.3">
      <c r="A12" s="110"/>
      <c r="B12" s="20" t="s">
        <v>42</v>
      </c>
      <c r="C12" s="11">
        <v>0</v>
      </c>
      <c r="D12" s="12">
        <v>4</v>
      </c>
      <c r="E12" s="12">
        <v>2</v>
      </c>
      <c r="F12" s="29">
        <v>17</v>
      </c>
      <c r="G12" s="30">
        <f t="shared" si="0"/>
        <v>0.23529411764705882</v>
      </c>
      <c r="H12" s="29">
        <v>350</v>
      </c>
      <c r="I12" s="31">
        <f t="shared" si="1"/>
        <v>41.176470588235297</v>
      </c>
      <c r="K12" s="74"/>
      <c r="L12" s="74"/>
    </row>
    <row r="13" spans="1:12" ht="25" customHeight="1" x14ac:dyDescent="0.3">
      <c r="A13" s="110"/>
      <c r="B13" s="20" t="s">
        <v>39</v>
      </c>
      <c r="C13" s="11">
        <v>0</v>
      </c>
      <c r="D13" s="12" t="s">
        <v>41</v>
      </c>
      <c r="E13" s="12" t="s">
        <v>41</v>
      </c>
      <c r="F13" s="29"/>
      <c r="G13" s="67"/>
      <c r="H13" s="29"/>
      <c r="I13" s="31"/>
      <c r="K13" s="74"/>
      <c r="L13" s="74"/>
    </row>
    <row r="14" spans="1:12" ht="25" customHeight="1" x14ac:dyDescent="0.3">
      <c r="A14" s="110"/>
      <c r="B14" s="20" t="s">
        <v>43</v>
      </c>
      <c r="C14" s="11">
        <v>0</v>
      </c>
      <c r="D14" s="12">
        <v>1</v>
      </c>
      <c r="E14" s="12">
        <v>1</v>
      </c>
      <c r="F14" s="29">
        <v>38</v>
      </c>
      <c r="G14" s="30">
        <f t="shared" si="0"/>
        <v>2.6315789473684209E-2</v>
      </c>
      <c r="H14" s="29">
        <v>2800</v>
      </c>
      <c r="I14" s="31">
        <f t="shared" si="1"/>
        <v>0</v>
      </c>
      <c r="K14" s="74"/>
      <c r="L14" s="74"/>
    </row>
    <row r="15" spans="1:12" ht="25" customHeight="1" x14ac:dyDescent="0.3">
      <c r="A15" s="111"/>
      <c r="B15" s="20" t="s">
        <v>18</v>
      </c>
      <c r="C15" s="11">
        <v>0</v>
      </c>
      <c r="D15" s="12">
        <v>14</v>
      </c>
      <c r="E15" s="12">
        <v>14</v>
      </c>
      <c r="F15" s="29">
        <v>31</v>
      </c>
      <c r="G15" s="30">
        <f t="shared" si="0"/>
        <v>0.45161290322580644</v>
      </c>
      <c r="H15" s="29">
        <v>230</v>
      </c>
      <c r="I15" s="31">
        <f t="shared" si="1"/>
        <v>0</v>
      </c>
    </row>
    <row r="16" spans="1:12" s="39" customFormat="1" ht="5" customHeight="1" x14ac:dyDescent="0.3">
      <c r="A16" s="49"/>
      <c r="B16" s="56"/>
      <c r="C16" s="50"/>
      <c r="D16" s="51"/>
      <c r="E16" s="51"/>
      <c r="F16" s="52"/>
      <c r="G16" s="53"/>
      <c r="H16" s="52"/>
      <c r="I16" s="54"/>
    </row>
    <row r="17" spans="1:11" ht="25" customHeight="1" x14ac:dyDescent="0.3">
      <c r="A17" s="113" t="s">
        <v>19</v>
      </c>
      <c r="B17" s="21" t="s">
        <v>36</v>
      </c>
      <c r="C17" s="11">
        <v>0</v>
      </c>
      <c r="D17" s="12">
        <v>7</v>
      </c>
      <c r="E17" s="12">
        <v>5</v>
      </c>
      <c r="F17" s="29">
        <v>10</v>
      </c>
      <c r="G17" s="30">
        <f t="shared" si="0"/>
        <v>0.7</v>
      </c>
      <c r="H17" s="29">
        <v>550</v>
      </c>
      <c r="I17" s="31">
        <f t="shared" si="1"/>
        <v>110</v>
      </c>
    </row>
    <row r="18" spans="1:11" ht="25" customHeight="1" x14ac:dyDescent="0.3">
      <c r="A18" s="114"/>
      <c r="B18" s="21" t="s">
        <v>26</v>
      </c>
      <c r="C18" s="11">
        <v>91</v>
      </c>
      <c r="D18" s="12">
        <v>91</v>
      </c>
      <c r="E18" s="12">
        <v>91</v>
      </c>
      <c r="F18" s="29">
        <v>107</v>
      </c>
      <c r="G18" s="30">
        <f t="shared" si="0"/>
        <v>0</v>
      </c>
      <c r="H18" s="29">
        <v>500</v>
      </c>
      <c r="I18" s="31">
        <f t="shared" si="1"/>
        <v>0</v>
      </c>
    </row>
    <row r="19" spans="1:11" ht="25" customHeight="1" x14ac:dyDescent="0.3">
      <c r="A19" s="115"/>
      <c r="B19" s="21" t="s">
        <v>33</v>
      </c>
      <c r="C19" s="11">
        <v>0</v>
      </c>
      <c r="D19" s="12">
        <v>0</v>
      </c>
      <c r="E19" s="12">
        <v>0</v>
      </c>
      <c r="F19" s="29">
        <v>28</v>
      </c>
      <c r="G19" s="30">
        <f t="shared" si="0"/>
        <v>0</v>
      </c>
      <c r="H19" s="29">
        <v>2700</v>
      </c>
      <c r="I19" s="31">
        <f t="shared" si="1"/>
        <v>0</v>
      </c>
    </row>
    <row r="20" spans="1:11" s="39" customFormat="1" ht="5" customHeight="1" x14ac:dyDescent="0.3">
      <c r="A20" s="49"/>
      <c r="B20" s="57"/>
      <c r="C20" s="50"/>
      <c r="D20" s="51"/>
      <c r="E20" s="51"/>
      <c r="F20" s="52"/>
      <c r="G20" s="53"/>
      <c r="H20" s="52"/>
      <c r="I20" s="54"/>
    </row>
    <row r="21" spans="1:11" ht="25" customHeight="1" x14ac:dyDescent="0.3">
      <c r="A21" s="97" t="s">
        <v>22</v>
      </c>
      <c r="B21" s="22" t="s">
        <v>32</v>
      </c>
      <c r="C21" s="11">
        <v>0</v>
      </c>
      <c r="D21" s="12">
        <v>4.0999999999999996</v>
      </c>
      <c r="E21" s="12">
        <v>4.0999999999999996</v>
      </c>
      <c r="F21" s="29">
        <v>28</v>
      </c>
      <c r="G21" s="30">
        <f t="shared" si="0"/>
        <v>0.14642857142857141</v>
      </c>
      <c r="H21" s="29">
        <v>2500</v>
      </c>
      <c r="I21" s="31">
        <f t="shared" si="1"/>
        <v>0</v>
      </c>
    </row>
    <row r="22" spans="1:11" ht="25" customHeight="1" x14ac:dyDescent="0.3">
      <c r="A22" s="98"/>
      <c r="B22" s="22" t="s">
        <v>37</v>
      </c>
      <c r="C22" s="11">
        <v>0</v>
      </c>
      <c r="D22" s="12">
        <v>3</v>
      </c>
      <c r="E22" s="12">
        <v>3</v>
      </c>
      <c r="F22" s="29">
        <v>10</v>
      </c>
      <c r="G22" s="30">
        <f t="shared" si="0"/>
        <v>0.3</v>
      </c>
      <c r="H22" s="29">
        <v>450</v>
      </c>
      <c r="I22" s="31">
        <f t="shared" si="1"/>
        <v>0</v>
      </c>
    </row>
    <row r="23" spans="1:11" s="39" customFormat="1" ht="5" customHeight="1" x14ac:dyDescent="0.3">
      <c r="A23" s="49"/>
      <c r="B23" s="58"/>
      <c r="C23" s="50"/>
      <c r="D23" s="51"/>
      <c r="E23" s="51"/>
      <c r="F23" s="52"/>
      <c r="G23" s="53"/>
      <c r="H23" s="52"/>
      <c r="I23" s="54"/>
    </row>
    <row r="24" spans="1:11" ht="25" customHeight="1" x14ac:dyDescent="0.3">
      <c r="A24" s="99" t="s">
        <v>24</v>
      </c>
      <c r="B24" s="23" t="s">
        <v>34</v>
      </c>
      <c r="C24" s="11">
        <v>72</v>
      </c>
      <c r="D24" s="12">
        <v>72</v>
      </c>
      <c r="E24" s="12">
        <v>72</v>
      </c>
      <c r="F24" s="29">
        <v>103</v>
      </c>
      <c r="G24" s="30">
        <f t="shared" si="0"/>
        <v>0</v>
      </c>
      <c r="H24" s="29">
        <v>630</v>
      </c>
      <c r="I24" s="31">
        <f t="shared" si="1"/>
        <v>0</v>
      </c>
      <c r="K24" s="68"/>
    </row>
    <row r="25" spans="1:11" ht="25" customHeight="1" x14ac:dyDescent="0.3">
      <c r="A25" s="100"/>
      <c r="B25" s="23" t="s">
        <v>38</v>
      </c>
      <c r="C25" s="11">
        <v>0</v>
      </c>
      <c r="D25" s="12">
        <v>4</v>
      </c>
      <c r="E25" s="12">
        <v>4</v>
      </c>
      <c r="F25" s="29">
        <v>10</v>
      </c>
      <c r="G25" s="30">
        <f t="shared" si="0"/>
        <v>0.4</v>
      </c>
      <c r="H25" s="29">
        <v>450</v>
      </c>
      <c r="I25" s="31">
        <f t="shared" si="1"/>
        <v>0</v>
      </c>
    </row>
    <row r="26" spans="1:11" ht="25" customHeight="1" x14ac:dyDescent="0.3">
      <c r="A26" s="101"/>
      <c r="B26" s="24" t="s">
        <v>40</v>
      </c>
      <c r="C26" s="13">
        <v>0</v>
      </c>
      <c r="D26" s="14">
        <v>0</v>
      </c>
      <c r="E26" s="14">
        <v>0</v>
      </c>
      <c r="F26" s="32">
        <v>28</v>
      </c>
      <c r="G26" s="33">
        <f t="shared" si="0"/>
        <v>0</v>
      </c>
      <c r="H26" s="32">
        <v>2300</v>
      </c>
      <c r="I26" s="34">
        <f t="shared" si="1"/>
        <v>0</v>
      </c>
    </row>
    <row r="27" spans="1:11" s="39" customFormat="1" ht="5" customHeight="1" x14ac:dyDescent="0.3">
      <c r="A27" s="42"/>
      <c r="B27" s="43"/>
      <c r="C27" s="44"/>
      <c r="D27" s="45"/>
      <c r="E27" s="45"/>
      <c r="F27" s="46"/>
      <c r="G27" s="47"/>
      <c r="H27" s="46"/>
      <c r="I27" s="48"/>
    </row>
  </sheetData>
  <mergeCells count="8">
    <mergeCell ref="A21:A22"/>
    <mergeCell ref="A24:A26"/>
    <mergeCell ref="K2:L3"/>
    <mergeCell ref="A3:A6"/>
    <mergeCell ref="A8:A9"/>
    <mergeCell ref="A11:A15"/>
    <mergeCell ref="K11:L11"/>
    <mergeCell ref="A17:A19"/>
  </mergeCells>
  <phoneticPr fontId="1" type="noConversion"/>
  <conditionalFormatting sqref="G8:G27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{23616178-06BA-4E38-985D-B91E8B3E46E9}</x14:id>
        </ext>
      </extLst>
    </cfRule>
  </conditionalFormatting>
  <conditionalFormatting sqref="G17:G20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{B3ED55D9-F103-4670-9733-C38A417D3C1B}</x14:id>
        </ext>
      </extLst>
    </cfRule>
  </conditionalFormatting>
  <conditionalFormatting sqref="G21:G23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{876C70D7-8233-4F4A-A627-A944A5D41E86}</x14:id>
        </ext>
      </extLst>
    </cfRule>
  </conditionalFormatting>
  <conditionalFormatting sqref="G24:G27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{5ED19FCC-7A77-47C9-8DAC-40EE631A2F1E}</x14:id>
        </ext>
      </extLst>
    </cfRule>
  </conditionalFormatting>
  <conditionalFormatting sqref="G8:G9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{5E31DF39-D49B-4C51-9079-40444CF37F5C}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{D4F70868-80F2-40C0-8377-019E176B8284}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{81C1A0D9-2034-4AAC-8E5C-789EE64666C4}</x14:id>
        </ext>
      </extLst>
    </cfRule>
  </conditionalFormatting>
  <conditionalFormatting sqref="G11:G15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{7960481B-4563-4C82-9962-7BF210B37F86}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616178-06BA-4E38-985D-B91E8B3E46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G8:G27 G3:G6</xm:sqref>
        </x14:conditionalFormatting>
        <x14:conditionalFormatting xmlns:xm="http://schemas.microsoft.com/office/excel/2006/main">
          <x14:cfRule type="dataBar" id="{B3ED55D9-F103-4670-9733-C38A417D3C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G17:G20</xm:sqref>
        </x14:conditionalFormatting>
        <x14:conditionalFormatting xmlns:xm="http://schemas.microsoft.com/office/excel/2006/main">
          <x14:cfRule type="dataBar" id="{876C70D7-8233-4F4A-A627-A944A5D41E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G21:G23</xm:sqref>
        </x14:conditionalFormatting>
        <x14:conditionalFormatting xmlns:xm="http://schemas.microsoft.com/office/excel/2006/main">
          <x14:cfRule type="dataBar" id="{5ED19FCC-7A77-47C9-8DAC-40EE631A2F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G24:G27</xm:sqref>
        </x14:conditionalFormatting>
        <x14:conditionalFormatting xmlns:xm="http://schemas.microsoft.com/office/excel/2006/main">
          <x14:cfRule type="dataBar" id="{5E31DF39-D49B-4C51-9079-40444CF37F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D4F70868-80F2-40C0-8377-019E176B8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1C1A0D9-2034-4AAC-8E5C-789EE64666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G8:G9</xm:sqref>
        </x14:conditionalFormatting>
        <x14:conditionalFormatting xmlns:xm="http://schemas.microsoft.com/office/excel/2006/main">
          <x14:cfRule type="dataBar" id="{7960481B-4563-4C82-9962-7BF210B37F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G11:G15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B0C37-CC82-4327-8B7B-590E238BBF83}">
  <sheetPr codeName="Sheet4">
    <pageSetUpPr fitToPage="1"/>
  </sheetPr>
  <dimension ref="A1:L27"/>
  <sheetViews>
    <sheetView zoomScaleNormal="100" workbookViewId="0"/>
  </sheetViews>
  <sheetFormatPr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0" max="10" width="11.5820312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ROUND(SUM(I3:I38),0)&amp;"+"</f>
        <v>520+</v>
      </c>
      <c r="L2" s="116"/>
    </row>
    <row r="3" spans="1:12" ht="25" customHeight="1" x14ac:dyDescent="0.3">
      <c r="A3" s="103" t="s">
        <v>7</v>
      </c>
      <c r="B3" s="18" t="s">
        <v>13</v>
      </c>
      <c r="C3" s="11">
        <v>0</v>
      </c>
      <c r="D3" s="12">
        <v>3</v>
      </c>
      <c r="E3" s="12">
        <v>2</v>
      </c>
      <c r="F3" s="29">
        <v>13</v>
      </c>
      <c r="G3" s="30">
        <f>(D3-C3)/(F3-C3)</f>
        <v>0.23076923076923078</v>
      </c>
      <c r="H3" s="29">
        <v>700</v>
      </c>
      <c r="I3" s="31">
        <f>((D3-E3)/F3)*H3</f>
        <v>53.846153846153847</v>
      </c>
      <c r="K3" s="116"/>
      <c r="L3" s="116"/>
    </row>
    <row r="4" spans="1:12" ht="25" customHeight="1" x14ac:dyDescent="0.3">
      <c r="A4" s="104"/>
      <c r="B4" s="18" t="s">
        <v>31</v>
      </c>
      <c r="C4" s="11">
        <v>0</v>
      </c>
      <c r="D4" s="60">
        <v>5</v>
      </c>
      <c r="E4" s="60">
        <v>4</v>
      </c>
      <c r="F4" s="59">
        <v>65</v>
      </c>
      <c r="G4" s="30">
        <f t="shared" ref="G4:G26" si="0">(D4-C4)/(F4-C4)</f>
        <v>7.6923076923076927E-2</v>
      </c>
      <c r="H4" s="29">
        <v>1500</v>
      </c>
      <c r="I4" s="31">
        <f t="shared" ref="I4:I26" si="1">((D4-E4)/F4)*H4</f>
        <v>23.076923076923077</v>
      </c>
    </row>
    <row r="5" spans="1:12" ht="25" customHeight="1" x14ac:dyDescent="0.3">
      <c r="A5" s="104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44748</v>
      </c>
      <c r="L5" s="7">
        <v>0.89097222222222217</v>
      </c>
    </row>
    <row r="6" spans="1:12" ht="25" customHeight="1" x14ac:dyDescent="0.3">
      <c r="A6" s="105"/>
      <c r="B6" s="18" t="s">
        <v>44</v>
      </c>
      <c r="C6" s="70">
        <v>5106</v>
      </c>
      <c r="D6" s="71">
        <v>6183</v>
      </c>
      <c r="E6" s="71">
        <v>5676</v>
      </c>
      <c r="F6" s="72">
        <v>13712</v>
      </c>
      <c r="G6" s="30">
        <f t="shared" si="0"/>
        <v>0.12514524750174297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106" t="s">
        <v>8</v>
      </c>
      <c r="B8" s="19" t="s">
        <v>15</v>
      </c>
      <c r="C8" s="11">
        <v>0</v>
      </c>
      <c r="D8" s="12">
        <v>5</v>
      </c>
      <c r="E8" s="12">
        <v>3.7</v>
      </c>
      <c r="F8" s="29">
        <v>8</v>
      </c>
      <c r="G8" s="30">
        <f t="shared" si="0"/>
        <v>0.625</v>
      </c>
      <c r="H8" s="29">
        <v>500</v>
      </c>
      <c r="I8" s="31">
        <f t="shared" si="1"/>
        <v>81.249999999999986</v>
      </c>
    </row>
    <row r="9" spans="1:12" ht="25" customHeight="1" x14ac:dyDescent="0.3">
      <c r="A9" s="108"/>
      <c r="B9" s="19" t="s">
        <v>16</v>
      </c>
      <c r="C9" s="11">
        <v>0</v>
      </c>
      <c r="D9" s="12">
        <v>0</v>
      </c>
      <c r="E9" s="12">
        <v>0</v>
      </c>
      <c r="F9" s="29">
        <v>38</v>
      </c>
      <c r="G9" s="30">
        <f t="shared" si="0"/>
        <v>0</v>
      </c>
      <c r="H9" s="29">
        <v>6000</v>
      </c>
      <c r="I9" s="31">
        <f t="shared" si="1"/>
        <v>0</v>
      </c>
      <c r="J9" s="1" t="s">
        <v>30</v>
      </c>
      <c r="K9" s="9"/>
      <c r="L9" s="69"/>
    </row>
    <row r="10" spans="1:12" s="39" customFormat="1" ht="5" customHeight="1" x14ac:dyDescent="0.3">
      <c r="A10" s="49"/>
      <c r="B10" s="55"/>
      <c r="C10" s="50"/>
      <c r="D10" s="51"/>
      <c r="E10" s="51"/>
      <c r="F10" s="52"/>
      <c r="G10" s="53"/>
      <c r="H10" s="52"/>
      <c r="I10" s="54"/>
      <c r="J10" s="36"/>
      <c r="K10" s="40"/>
      <c r="L10" s="41"/>
    </row>
    <row r="11" spans="1:12" ht="25" customHeight="1" x14ac:dyDescent="0.3">
      <c r="A11" s="109" t="s">
        <v>9</v>
      </c>
      <c r="B11" s="20" t="s">
        <v>17</v>
      </c>
      <c r="C11" s="11">
        <v>0</v>
      </c>
      <c r="D11" s="12">
        <v>6</v>
      </c>
      <c r="E11" s="12">
        <v>4</v>
      </c>
      <c r="F11" s="29">
        <v>12</v>
      </c>
      <c r="G11" s="30">
        <f t="shared" si="0"/>
        <v>0.5</v>
      </c>
      <c r="H11" s="29">
        <v>400</v>
      </c>
      <c r="I11" s="31">
        <f t="shared" si="1"/>
        <v>66.666666666666657</v>
      </c>
      <c r="K11" s="112"/>
      <c r="L11" s="112"/>
    </row>
    <row r="12" spans="1:12" ht="25" customHeight="1" x14ac:dyDescent="0.3">
      <c r="A12" s="110"/>
      <c r="B12" s="20" t="s">
        <v>42</v>
      </c>
      <c r="C12" s="11">
        <v>0</v>
      </c>
      <c r="D12" s="12">
        <v>2</v>
      </c>
      <c r="E12" s="12">
        <v>1</v>
      </c>
      <c r="F12" s="29">
        <v>17</v>
      </c>
      <c r="G12" s="30">
        <f t="shared" si="0"/>
        <v>0.11764705882352941</v>
      </c>
      <c r="H12" s="29">
        <v>350</v>
      </c>
      <c r="I12" s="31">
        <f t="shared" si="1"/>
        <v>20.588235294117649</v>
      </c>
      <c r="K12" s="69"/>
      <c r="L12" s="69"/>
    </row>
    <row r="13" spans="1:12" ht="25" customHeight="1" x14ac:dyDescent="0.3">
      <c r="A13" s="110"/>
      <c r="B13" s="20" t="s">
        <v>39</v>
      </c>
      <c r="C13" s="11">
        <v>0</v>
      </c>
      <c r="D13" s="12" t="s">
        <v>41</v>
      </c>
      <c r="E13" s="12" t="s">
        <v>41</v>
      </c>
      <c r="F13" s="29"/>
      <c r="G13" s="67"/>
      <c r="H13" s="29"/>
      <c r="I13" s="31"/>
      <c r="K13" s="69"/>
      <c r="L13" s="69"/>
    </row>
    <row r="14" spans="1:12" ht="25" customHeight="1" x14ac:dyDescent="0.3">
      <c r="A14" s="110"/>
      <c r="B14" s="20" t="s">
        <v>43</v>
      </c>
      <c r="C14" s="11">
        <v>0</v>
      </c>
      <c r="D14" s="12">
        <v>1</v>
      </c>
      <c r="E14" s="12">
        <v>1</v>
      </c>
      <c r="F14" s="29">
        <v>38</v>
      </c>
      <c r="G14" s="30">
        <f t="shared" si="0"/>
        <v>2.6315789473684209E-2</v>
      </c>
      <c r="H14" s="29">
        <v>2800</v>
      </c>
      <c r="I14" s="31">
        <f t="shared" si="1"/>
        <v>0</v>
      </c>
      <c r="K14" s="69"/>
      <c r="L14" s="69"/>
    </row>
    <row r="15" spans="1:12" ht="25" customHeight="1" x14ac:dyDescent="0.3">
      <c r="A15" s="111"/>
      <c r="B15" s="20" t="s">
        <v>18</v>
      </c>
      <c r="C15" s="11">
        <v>0</v>
      </c>
      <c r="D15" s="12">
        <v>14</v>
      </c>
      <c r="E15" s="12">
        <v>10</v>
      </c>
      <c r="F15" s="29">
        <v>31</v>
      </c>
      <c r="G15" s="30">
        <f t="shared" si="0"/>
        <v>0.45161290322580644</v>
      </c>
      <c r="H15" s="29">
        <v>230</v>
      </c>
      <c r="I15" s="31">
        <f t="shared" si="1"/>
        <v>29.677419354838708</v>
      </c>
    </row>
    <row r="16" spans="1:12" s="39" customFormat="1" ht="5" customHeight="1" x14ac:dyDescent="0.3">
      <c r="A16" s="49"/>
      <c r="B16" s="56"/>
      <c r="C16" s="50"/>
      <c r="D16" s="51"/>
      <c r="E16" s="51"/>
      <c r="F16" s="52"/>
      <c r="G16" s="53"/>
      <c r="H16" s="52"/>
      <c r="I16" s="54"/>
    </row>
    <row r="17" spans="1:11" ht="25" customHeight="1" x14ac:dyDescent="0.3">
      <c r="A17" s="113" t="s">
        <v>19</v>
      </c>
      <c r="B17" s="21" t="s">
        <v>36</v>
      </c>
      <c r="C17" s="11">
        <v>0</v>
      </c>
      <c r="D17" s="12">
        <v>5</v>
      </c>
      <c r="E17" s="12">
        <v>3</v>
      </c>
      <c r="F17" s="29">
        <v>10</v>
      </c>
      <c r="G17" s="30">
        <f t="shared" si="0"/>
        <v>0.5</v>
      </c>
      <c r="H17" s="29">
        <v>550</v>
      </c>
      <c r="I17" s="31">
        <f t="shared" si="1"/>
        <v>110</v>
      </c>
    </row>
    <row r="18" spans="1:11" ht="25" customHeight="1" x14ac:dyDescent="0.3">
      <c r="A18" s="114"/>
      <c r="B18" s="21" t="s">
        <v>26</v>
      </c>
      <c r="C18" s="11">
        <v>91</v>
      </c>
      <c r="D18" s="12">
        <v>91</v>
      </c>
      <c r="E18" s="12">
        <v>91</v>
      </c>
      <c r="F18" s="29">
        <v>107</v>
      </c>
      <c r="G18" s="30">
        <f t="shared" si="0"/>
        <v>0</v>
      </c>
      <c r="H18" s="29">
        <v>500</v>
      </c>
      <c r="I18" s="31">
        <f t="shared" si="1"/>
        <v>0</v>
      </c>
    </row>
    <row r="19" spans="1:11" ht="25" customHeight="1" x14ac:dyDescent="0.3">
      <c r="A19" s="115"/>
      <c r="B19" s="21" t="s">
        <v>33</v>
      </c>
      <c r="C19" s="11">
        <v>0</v>
      </c>
      <c r="D19" s="12">
        <v>0</v>
      </c>
      <c r="E19" s="12">
        <v>0</v>
      </c>
      <c r="F19" s="29">
        <v>28</v>
      </c>
      <c r="G19" s="30">
        <f t="shared" si="0"/>
        <v>0</v>
      </c>
      <c r="H19" s="29">
        <v>2700</v>
      </c>
      <c r="I19" s="31">
        <f t="shared" si="1"/>
        <v>0</v>
      </c>
    </row>
    <row r="20" spans="1:11" s="39" customFormat="1" ht="5" customHeight="1" x14ac:dyDescent="0.3">
      <c r="A20" s="49"/>
      <c r="B20" s="57"/>
      <c r="C20" s="50"/>
      <c r="D20" s="51"/>
      <c r="E20" s="51"/>
      <c r="F20" s="52"/>
      <c r="G20" s="53"/>
      <c r="H20" s="52"/>
      <c r="I20" s="54"/>
    </row>
    <row r="21" spans="1:11" ht="25" customHeight="1" x14ac:dyDescent="0.3">
      <c r="A21" s="97" t="s">
        <v>22</v>
      </c>
      <c r="B21" s="22" t="s">
        <v>32</v>
      </c>
      <c r="C21" s="11">
        <v>0</v>
      </c>
      <c r="D21" s="12">
        <v>4.0999999999999996</v>
      </c>
      <c r="E21" s="12">
        <v>4.0999999999999996</v>
      </c>
      <c r="F21" s="29">
        <v>28</v>
      </c>
      <c r="G21" s="30">
        <f t="shared" si="0"/>
        <v>0.14642857142857141</v>
      </c>
      <c r="H21" s="29">
        <v>2500</v>
      </c>
      <c r="I21" s="31">
        <f t="shared" si="1"/>
        <v>0</v>
      </c>
    </row>
    <row r="22" spans="1:11" ht="25" customHeight="1" x14ac:dyDescent="0.3">
      <c r="A22" s="98"/>
      <c r="B22" s="22" t="s">
        <v>37</v>
      </c>
      <c r="C22" s="11">
        <v>0</v>
      </c>
      <c r="D22" s="12">
        <v>3</v>
      </c>
      <c r="E22" s="12">
        <v>2</v>
      </c>
      <c r="F22" s="29">
        <v>10</v>
      </c>
      <c r="G22" s="30">
        <f t="shared" si="0"/>
        <v>0.3</v>
      </c>
      <c r="H22" s="29">
        <v>450</v>
      </c>
      <c r="I22" s="31">
        <f t="shared" si="1"/>
        <v>45</v>
      </c>
    </row>
    <row r="23" spans="1:11" s="39" customFormat="1" ht="5" customHeight="1" x14ac:dyDescent="0.3">
      <c r="A23" s="49"/>
      <c r="B23" s="58"/>
      <c r="C23" s="50"/>
      <c r="D23" s="51"/>
      <c r="E23" s="51"/>
      <c r="F23" s="52"/>
      <c r="G23" s="53"/>
      <c r="H23" s="52"/>
      <c r="I23" s="54"/>
    </row>
    <row r="24" spans="1:11" ht="25" customHeight="1" x14ac:dyDescent="0.3">
      <c r="A24" s="99" t="s">
        <v>24</v>
      </c>
      <c r="B24" s="23" t="s">
        <v>34</v>
      </c>
      <c r="C24" s="11">
        <v>72</v>
      </c>
      <c r="D24" s="12">
        <v>72</v>
      </c>
      <c r="E24" s="12">
        <v>72</v>
      </c>
      <c r="F24" s="29">
        <v>103</v>
      </c>
      <c r="G24" s="30">
        <f t="shared" si="0"/>
        <v>0</v>
      </c>
      <c r="H24" s="29">
        <v>630</v>
      </c>
      <c r="I24" s="31">
        <f t="shared" si="1"/>
        <v>0</v>
      </c>
      <c r="K24" s="68"/>
    </row>
    <row r="25" spans="1:11" ht="25" customHeight="1" x14ac:dyDescent="0.3">
      <c r="A25" s="100"/>
      <c r="B25" s="23" t="s">
        <v>38</v>
      </c>
      <c r="C25" s="11">
        <v>0</v>
      </c>
      <c r="D25" s="12">
        <v>4</v>
      </c>
      <c r="E25" s="12">
        <v>2</v>
      </c>
      <c r="F25" s="29">
        <v>10</v>
      </c>
      <c r="G25" s="30">
        <f t="shared" si="0"/>
        <v>0.4</v>
      </c>
      <c r="H25" s="29">
        <v>450</v>
      </c>
      <c r="I25" s="31">
        <f t="shared" si="1"/>
        <v>90</v>
      </c>
    </row>
    <row r="26" spans="1:11" ht="25" customHeight="1" x14ac:dyDescent="0.3">
      <c r="A26" s="101"/>
      <c r="B26" s="24" t="s">
        <v>40</v>
      </c>
      <c r="C26" s="13">
        <v>0</v>
      </c>
      <c r="D26" s="14">
        <v>0</v>
      </c>
      <c r="E26" s="14">
        <v>0</v>
      </c>
      <c r="F26" s="32">
        <v>28</v>
      </c>
      <c r="G26" s="33">
        <f t="shared" si="0"/>
        <v>0</v>
      </c>
      <c r="H26" s="32">
        <v>2300</v>
      </c>
      <c r="I26" s="34">
        <f t="shared" si="1"/>
        <v>0</v>
      </c>
    </row>
    <row r="27" spans="1:11" s="39" customFormat="1" ht="5" customHeight="1" x14ac:dyDescent="0.3">
      <c r="A27" s="42"/>
      <c r="B27" s="43"/>
      <c r="C27" s="44"/>
      <c r="D27" s="45"/>
      <c r="E27" s="45"/>
      <c r="F27" s="46"/>
      <c r="G27" s="47"/>
      <c r="H27" s="46"/>
      <c r="I27" s="48"/>
    </row>
  </sheetData>
  <mergeCells count="8">
    <mergeCell ref="A21:A22"/>
    <mergeCell ref="A24:A26"/>
    <mergeCell ref="K2:L3"/>
    <mergeCell ref="A8:A9"/>
    <mergeCell ref="A11:A15"/>
    <mergeCell ref="K11:L11"/>
    <mergeCell ref="A17:A19"/>
    <mergeCell ref="A3:A6"/>
  </mergeCells>
  <phoneticPr fontId="1" type="noConversion"/>
  <conditionalFormatting sqref="G8:G27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{704D1C2B-3FA5-454F-AD8C-95BC27715FC6}</x14:id>
        </ext>
      </extLst>
    </cfRule>
  </conditionalFormatting>
  <conditionalFormatting sqref="G17:G20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{7D91BFE7-0831-435E-873D-3DB3B894C3FD}</x14:id>
        </ext>
      </extLst>
    </cfRule>
  </conditionalFormatting>
  <conditionalFormatting sqref="G21:G23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{79572734-E8EC-4BEC-B85A-89CDF01E03BA}</x14:id>
        </ext>
      </extLst>
    </cfRule>
  </conditionalFormatting>
  <conditionalFormatting sqref="G24:G27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{48398A06-8D1F-4C74-A8A3-1348D20D9549}</x14:id>
        </ext>
      </extLst>
    </cfRule>
  </conditionalFormatting>
  <conditionalFormatting sqref="G8:G9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{562C8AB4-C146-4BDD-BB8D-4BECDA89CEE7}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{4D2B94FB-053C-4ECF-9A41-BAB637A5E208}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{6D777C65-B18C-4434-9A65-0B41878E7260}</x14:id>
        </ext>
      </extLst>
    </cfRule>
  </conditionalFormatting>
  <conditionalFormatting sqref="G11:G15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{9DF2D740-0BF4-44EE-A46B-9B521F3DAA23}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4D1C2B-3FA5-454F-AD8C-95BC27715F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G8:G27 G3:G6</xm:sqref>
        </x14:conditionalFormatting>
        <x14:conditionalFormatting xmlns:xm="http://schemas.microsoft.com/office/excel/2006/main">
          <x14:cfRule type="dataBar" id="{7D91BFE7-0831-435E-873D-3DB3B894C3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G17:G20</xm:sqref>
        </x14:conditionalFormatting>
        <x14:conditionalFormatting xmlns:xm="http://schemas.microsoft.com/office/excel/2006/main">
          <x14:cfRule type="dataBar" id="{79572734-E8EC-4BEC-B85A-89CDF01E03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G21:G23</xm:sqref>
        </x14:conditionalFormatting>
        <x14:conditionalFormatting xmlns:xm="http://schemas.microsoft.com/office/excel/2006/main">
          <x14:cfRule type="dataBar" id="{48398A06-8D1F-4C74-A8A3-1348D20D95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G24:G27</xm:sqref>
        </x14:conditionalFormatting>
        <x14:conditionalFormatting xmlns:xm="http://schemas.microsoft.com/office/excel/2006/main">
          <x14:cfRule type="dataBar" id="{562C8AB4-C146-4BDD-BB8D-4BECDA89CE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D2B94FB-053C-4ECF-9A41-BAB637A5E2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777C65-B18C-4434-9A65-0B41878E72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G8:G9</xm:sqref>
        </x14:conditionalFormatting>
        <x14:conditionalFormatting xmlns:xm="http://schemas.microsoft.com/office/excel/2006/main">
          <x14:cfRule type="dataBar" id="{9DF2D740-0BF4-44EE-A46B-9B521F3DAA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G11:G15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4E95-80F4-450A-B005-CE38AC42254E}">
  <sheetPr codeName="Sheet3">
    <pageSetUpPr fitToPage="1"/>
  </sheetPr>
  <dimension ref="A1:L27"/>
  <sheetViews>
    <sheetView zoomScaleNormal="100" workbookViewId="0"/>
  </sheetViews>
  <sheetFormatPr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0" max="10" width="11.5820312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 t="str">
        <f>ROUND(SUM(I3:I37),0)&amp;"+"</f>
        <v>466+</v>
      </c>
      <c r="L2" s="116"/>
    </row>
    <row r="3" spans="1:12" ht="25" customHeight="1" x14ac:dyDescent="0.3">
      <c r="A3" s="117" t="s">
        <v>7</v>
      </c>
      <c r="B3" s="18" t="s">
        <v>13</v>
      </c>
      <c r="C3" s="11">
        <v>0</v>
      </c>
      <c r="D3" s="12">
        <v>2</v>
      </c>
      <c r="E3" s="12">
        <v>0.8</v>
      </c>
      <c r="F3" s="29">
        <v>13</v>
      </c>
      <c r="G3" s="30">
        <f>(D3-C3)/(F3-C3)</f>
        <v>0.15384615384615385</v>
      </c>
      <c r="H3" s="29">
        <v>700</v>
      </c>
      <c r="I3" s="31">
        <f>((D3-E3)/F3)*H3</f>
        <v>64.615384615384613</v>
      </c>
      <c r="K3" s="116"/>
      <c r="L3" s="116"/>
    </row>
    <row r="4" spans="1:12" ht="25" customHeight="1" x14ac:dyDescent="0.3">
      <c r="A4" s="118"/>
      <c r="B4" s="18" t="s">
        <v>31</v>
      </c>
      <c r="C4" s="11">
        <v>0</v>
      </c>
      <c r="D4" s="60">
        <v>4</v>
      </c>
      <c r="E4" s="60">
        <v>3</v>
      </c>
      <c r="F4" s="59">
        <v>65</v>
      </c>
      <c r="G4" s="30">
        <f t="shared" ref="G4:G25" si="0">(D4-C4)/(F4-C4)</f>
        <v>6.1538461538461542E-2</v>
      </c>
      <c r="H4" s="29">
        <v>1500</v>
      </c>
      <c r="I4" s="31">
        <f t="shared" ref="I4:I25" si="1">((D4-E4)/F4)*H4</f>
        <v>23.076923076923077</v>
      </c>
    </row>
    <row r="5" spans="1:12" ht="25" customHeight="1" x14ac:dyDescent="0.3">
      <c r="A5" s="119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44747</v>
      </c>
      <c r="L5" s="7">
        <v>0.87777777777777777</v>
      </c>
    </row>
    <row r="6" spans="1:12" s="39" customFormat="1" ht="5" customHeight="1" x14ac:dyDescent="0.3">
      <c r="A6" s="62"/>
      <c r="B6" s="18"/>
      <c r="C6" s="63"/>
      <c r="D6" s="63"/>
      <c r="E6" s="63"/>
      <c r="F6" s="63"/>
      <c r="G6" s="64"/>
      <c r="H6" s="52"/>
      <c r="I6" s="54"/>
      <c r="J6" s="36"/>
      <c r="K6" s="37"/>
      <c r="L6" s="38"/>
    </row>
    <row r="7" spans="1:12" ht="25" customHeight="1" x14ac:dyDescent="0.3">
      <c r="A7" s="106" t="s">
        <v>8</v>
      </c>
      <c r="B7" s="63" t="s">
        <v>15</v>
      </c>
      <c r="C7" s="11">
        <v>0</v>
      </c>
      <c r="D7" s="12">
        <v>3.7</v>
      </c>
      <c r="E7" s="12">
        <v>2.7</v>
      </c>
      <c r="F7" s="29">
        <v>8</v>
      </c>
      <c r="G7" s="30">
        <f t="shared" si="0"/>
        <v>0.46250000000000002</v>
      </c>
      <c r="H7" s="29">
        <v>500</v>
      </c>
      <c r="I7" s="31">
        <f t="shared" si="1"/>
        <v>62.5</v>
      </c>
    </row>
    <row r="8" spans="1:12" ht="25" customHeight="1" x14ac:dyDescent="0.3">
      <c r="A8" s="108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65"/>
    </row>
    <row r="9" spans="1:12" s="39" customFormat="1" ht="5" customHeight="1" x14ac:dyDescent="0.3">
      <c r="A9" s="49"/>
      <c r="B9" s="19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109" t="s">
        <v>9</v>
      </c>
      <c r="B10" s="55" t="s">
        <v>17</v>
      </c>
      <c r="C10" s="11">
        <v>0</v>
      </c>
      <c r="D10" s="12">
        <v>4</v>
      </c>
      <c r="E10" s="12">
        <v>2</v>
      </c>
      <c r="F10" s="29">
        <v>12</v>
      </c>
      <c r="G10" s="30">
        <f t="shared" si="0"/>
        <v>0.33333333333333331</v>
      </c>
      <c r="H10" s="29">
        <v>400</v>
      </c>
      <c r="I10" s="31">
        <f t="shared" si="1"/>
        <v>66.666666666666657</v>
      </c>
      <c r="K10" s="112"/>
      <c r="L10" s="112"/>
    </row>
    <row r="11" spans="1:12" ht="25" customHeight="1" x14ac:dyDescent="0.3">
      <c r="A11" s="110"/>
      <c r="B11" s="20" t="s">
        <v>42</v>
      </c>
      <c r="C11" s="11">
        <v>0</v>
      </c>
      <c r="D11" s="12">
        <v>1</v>
      </c>
      <c r="E11" s="12">
        <v>0</v>
      </c>
      <c r="F11" s="29">
        <v>17</v>
      </c>
      <c r="G11" s="30">
        <f t="shared" si="0"/>
        <v>5.8823529411764705E-2</v>
      </c>
      <c r="H11" s="29">
        <v>350</v>
      </c>
      <c r="I11" s="31">
        <f t="shared" si="1"/>
        <v>20.588235294117649</v>
      </c>
      <c r="K11" s="65"/>
      <c r="L11" s="65"/>
    </row>
    <row r="12" spans="1:12" ht="25" customHeight="1" x14ac:dyDescent="0.3">
      <c r="A12" s="110"/>
      <c r="B12" s="20" t="s">
        <v>39</v>
      </c>
      <c r="C12" s="11">
        <v>0</v>
      </c>
      <c r="D12" s="12" t="s">
        <v>41</v>
      </c>
      <c r="E12" s="12"/>
      <c r="F12" s="29"/>
      <c r="G12" s="67"/>
      <c r="H12" s="29"/>
      <c r="I12" s="31"/>
      <c r="K12" s="65"/>
      <c r="L12" s="65"/>
    </row>
    <row r="13" spans="1:12" ht="25" customHeight="1" x14ac:dyDescent="0.3">
      <c r="A13" s="110"/>
      <c r="B13" s="20" t="s">
        <v>43</v>
      </c>
      <c r="C13" s="11">
        <v>0</v>
      </c>
      <c r="D13" s="12">
        <v>1</v>
      </c>
      <c r="E13" s="12">
        <v>0</v>
      </c>
      <c r="F13" s="29">
        <v>38</v>
      </c>
      <c r="G13" s="30">
        <f t="shared" si="0"/>
        <v>2.6315789473684209E-2</v>
      </c>
      <c r="H13" s="29">
        <v>2800</v>
      </c>
      <c r="I13" s="31">
        <f t="shared" si="1"/>
        <v>73.68421052631578</v>
      </c>
      <c r="K13" s="66"/>
      <c r="L13" s="66"/>
    </row>
    <row r="14" spans="1:12" ht="25" customHeight="1" x14ac:dyDescent="0.3">
      <c r="A14" s="111"/>
      <c r="B14" s="20" t="s">
        <v>18</v>
      </c>
      <c r="C14" s="11">
        <v>0</v>
      </c>
      <c r="D14" s="12">
        <v>10</v>
      </c>
      <c r="E14" s="12">
        <v>10</v>
      </c>
      <c r="F14" s="29">
        <v>31</v>
      </c>
      <c r="G14" s="30">
        <f t="shared" si="0"/>
        <v>0.32258064516129031</v>
      </c>
      <c r="H14" s="29">
        <v>230</v>
      </c>
      <c r="I14" s="31">
        <f t="shared" si="1"/>
        <v>0</v>
      </c>
    </row>
    <row r="15" spans="1:12" s="39" customFormat="1" ht="5" customHeight="1" x14ac:dyDescent="0.3">
      <c r="A15" s="49"/>
      <c r="B15" s="20"/>
      <c r="C15" s="50"/>
      <c r="D15" s="51"/>
      <c r="E15" s="51"/>
      <c r="F15" s="52"/>
      <c r="G15" s="53"/>
      <c r="H15" s="52"/>
      <c r="I15" s="54"/>
    </row>
    <row r="16" spans="1:12" ht="25" customHeight="1" x14ac:dyDescent="0.3">
      <c r="A16" s="113" t="s">
        <v>19</v>
      </c>
      <c r="B16" s="56" t="s">
        <v>36</v>
      </c>
      <c r="C16" s="11">
        <v>0</v>
      </c>
      <c r="D16" s="12">
        <v>3</v>
      </c>
      <c r="E16" s="12">
        <v>1</v>
      </c>
      <c r="F16" s="29">
        <v>10</v>
      </c>
      <c r="G16" s="30">
        <f t="shared" si="0"/>
        <v>0.3</v>
      </c>
      <c r="H16" s="29">
        <v>550</v>
      </c>
      <c r="I16" s="31">
        <f t="shared" si="1"/>
        <v>110</v>
      </c>
    </row>
    <row r="17" spans="1:11" ht="25" customHeight="1" x14ac:dyDescent="0.3">
      <c r="A17" s="114"/>
      <c r="B17" s="21" t="s">
        <v>26</v>
      </c>
      <c r="C17" s="11">
        <v>91</v>
      </c>
      <c r="D17" s="12">
        <v>91</v>
      </c>
      <c r="E17" s="12">
        <v>91</v>
      </c>
      <c r="F17" s="29">
        <v>107</v>
      </c>
      <c r="G17" s="30">
        <f t="shared" si="0"/>
        <v>0</v>
      </c>
      <c r="H17" s="29">
        <v>500</v>
      </c>
      <c r="I17" s="31">
        <f t="shared" si="1"/>
        <v>0</v>
      </c>
    </row>
    <row r="18" spans="1:11" ht="25" customHeight="1" x14ac:dyDescent="0.3">
      <c r="A18" s="115"/>
      <c r="B18" s="21" t="s">
        <v>33</v>
      </c>
      <c r="C18" s="11">
        <v>0</v>
      </c>
      <c r="D18" s="12">
        <v>0</v>
      </c>
      <c r="E18" s="12">
        <v>0</v>
      </c>
      <c r="F18" s="29">
        <v>28</v>
      </c>
      <c r="G18" s="30">
        <f t="shared" si="0"/>
        <v>0</v>
      </c>
      <c r="H18" s="29">
        <v>2700</v>
      </c>
      <c r="I18" s="31">
        <f t="shared" si="1"/>
        <v>0</v>
      </c>
    </row>
    <row r="19" spans="1:11" s="39" customFormat="1" ht="5" customHeight="1" x14ac:dyDescent="0.3">
      <c r="A19" s="49"/>
      <c r="B19" s="21"/>
      <c r="C19" s="50"/>
      <c r="D19" s="51"/>
      <c r="E19" s="51"/>
      <c r="F19" s="52"/>
      <c r="G19" s="53"/>
      <c r="H19" s="52"/>
      <c r="I19" s="54"/>
    </row>
    <row r="20" spans="1:11" ht="25" customHeight="1" x14ac:dyDescent="0.3">
      <c r="A20" s="97" t="s">
        <v>22</v>
      </c>
      <c r="B20" s="57" t="s">
        <v>32</v>
      </c>
      <c r="C20" s="11">
        <v>0</v>
      </c>
      <c r="D20" s="12">
        <v>4.0999999999999996</v>
      </c>
      <c r="E20" s="12">
        <v>4.0999999999999996</v>
      </c>
      <c r="F20" s="29">
        <v>28</v>
      </c>
      <c r="G20" s="30">
        <f t="shared" si="0"/>
        <v>0.14642857142857141</v>
      </c>
      <c r="H20" s="29">
        <v>2500</v>
      </c>
      <c r="I20" s="31">
        <f t="shared" si="1"/>
        <v>0</v>
      </c>
    </row>
    <row r="21" spans="1:11" ht="25" customHeight="1" x14ac:dyDescent="0.3">
      <c r="A21" s="98"/>
      <c r="B21" s="22" t="s">
        <v>37</v>
      </c>
      <c r="C21" s="11">
        <v>0</v>
      </c>
      <c r="D21" s="12">
        <v>2</v>
      </c>
      <c r="E21" s="12">
        <v>1</v>
      </c>
      <c r="F21" s="29">
        <v>10</v>
      </c>
      <c r="G21" s="30">
        <f t="shared" si="0"/>
        <v>0.2</v>
      </c>
      <c r="H21" s="29">
        <v>450</v>
      </c>
      <c r="I21" s="31">
        <f t="shared" si="1"/>
        <v>45</v>
      </c>
    </row>
    <row r="22" spans="1:11" s="39" customFormat="1" ht="5" customHeight="1" x14ac:dyDescent="0.3">
      <c r="A22" s="49"/>
      <c r="B22" s="22"/>
      <c r="C22" s="50"/>
      <c r="D22" s="51"/>
      <c r="E22" s="51"/>
      <c r="F22" s="52"/>
      <c r="G22" s="53"/>
      <c r="H22" s="52"/>
      <c r="I22" s="54"/>
    </row>
    <row r="23" spans="1:11" ht="25" customHeight="1" x14ac:dyDescent="0.3">
      <c r="A23" s="99" t="s">
        <v>24</v>
      </c>
      <c r="B23" s="58" t="s">
        <v>34</v>
      </c>
      <c r="C23" s="11">
        <v>72</v>
      </c>
      <c r="D23" s="12">
        <v>72</v>
      </c>
      <c r="E23" s="12">
        <v>72</v>
      </c>
      <c r="F23" s="29">
        <v>103</v>
      </c>
      <c r="G23" s="30">
        <f t="shared" si="0"/>
        <v>0</v>
      </c>
      <c r="H23" s="29">
        <v>630</v>
      </c>
      <c r="I23" s="31">
        <f t="shared" si="1"/>
        <v>0</v>
      </c>
      <c r="K23" s="68"/>
    </row>
    <row r="24" spans="1:11" ht="25" customHeight="1" x14ac:dyDescent="0.3">
      <c r="A24" s="100"/>
      <c r="B24" s="23" t="s">
        <v>38</v>
      </c>
      <c r="C24" s="11">
        <v>0</v>
      </c>
      <c r="D24" s="12">
        <v>2</v>
      </c>
      <c r="E24" s="12">
        <v>2</v>
      </c>
      <c r="F24" s="29">
        <v>10</v>
      </c>
      <c r="G24" s="30">
        <f t="shared" si="0"/>
        <v>0.2</v>
      </c>
      <c r="H24" s="29">
        <v>450</v>
      </c>
      <c r="I24" s="31">
        <f t="shared" si="1"/>
        <v>0</v>
      </c>
    </row>
    <row r="25" spans="1:11" ht="25" customHeight="1" x14ac:dyDescent="0.3">
      <c r="A25" s="101"/>
      <c r="B25" s="23" t="s">
        <v>40</v>
      </c>
      <c r="C25" s="13">
        <v>0</v>
      </c>
      <c r="D25" s="14">
        <v>0</v>
      </c>
      <c r="E25" s="14">
        <v>0</v>
      </c>
      <c r="F25" s="32">
        <v>28</v>
      </c>
      <c r="G25" s="33">
        <f t="shared" si="0"/>
        <v>0</v>
      </c>
      <c r="H25" s="32">
        <v>2300</v>
      </c>
      <c r="I25" s="34">
        <f t="shared" si="1"/>
        <v>0</v>
      </c>
    </row>
    <row r="26" spans="1:11" s="39" customFormat="1" ht="5" customHeight="1" x14ac:dyDescent="0.3">
      <c r="A26" s="42"/>
      <c r="B26" s="24"/>
      <c r="C26" s="44"/>
      <c r="D26" s="45"/>
      <c r="E26" s="45"/>
      <c r="F26" s="46"/>
      <c r="G26" s="47"/>
      <c r="H26" s="46"/>
      <c r="I26" s="48"/>
    </row>
    <row r="27" spans="1:11" ht="20" x14ac:dyDescent="0.3">
      <c r="B27" s="43"/>
    </row>
  </sheetData>
  <mergeCells count="8">
    <mergeCell ref="A20:A21"/>
    <mergeCell ref="A23:A25"/>
    <mergeCell ref="K2:L3"/>
    <mergeCell ref="A3:A5"/>
    <mergeCell ref="A7:A8"/>
    <mergeCell ref="A10:A14"/>
    <mergeCell ref="K10:L10"/>
    <mergeCell ref="A16:A18"/>
  </mergeCells>
  <phoneticPr fontId="1" type="noConversion"/>
  <conditionalFormatting sqref="G3:G5 G7:G2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{F2C7290A-30E0-492D-A3C2-A90A93D5DAF9}</x14:id>
        </ext>
      </extLst>
    </cfRule>
  </conditionalFormatting>
  <conditionalFormatting sqref="G16:G19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{8DCCDFC5-613F-4E79-B5ED-39962903C29C}</x14:id>
        </ext>
      </extLst>
    </cfRule>
  </conditionalFormatting>
  <conditionalFormatting sqref="G20:G22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{1A10DECD-A191-4B1A-BF11-18FA744616C5}</x14:id>
        </ext>
      </extLst>
    </cfRule>
  </conditionalFormatting>
  <conditionalFormatting sqref="G23:G26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{15139A63-494F-4A92-9939-2B7CC1EF036C}</x14:id>
        </ext>
      </extLst>
    </cfRule>
  </conditionalFormatting>
  <conditionalFormatting sqref="G7:G8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{694ECCA8-27A3-4876-8460-0B05BB79415D}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{C0744EAF-62B9-4026-90B1-CFA3A1855B07}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{7BD6FA9C-4C0D-4BEE-A852-D2A75733DEDE}</x14:id>
        </ext>
      </extLst>
    </cfRule>
  </conditionalFormatting>
  <conditionalFormatting sqref="G10:G14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{2C99F8AC-73FB-43B5-95C5-A4432AF00FCE}</x14:id>
        </ext>
      </extLst>
    </cfRule>
  </conditionalFormatting>
  <pageMargins left="0.7" right="0.7" top="0.75" bottom="0.75" header="0.3" footer="0.3"/>
  <pageSetup paperSize="9" scale="58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C7290A-30E0-492D-A3C2-A90A93D5DA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G3:G5 G7:G26</xm:sqref>
        </x14:conditionalFormatting>
        <x14:conditionalFormatting xmlns:xm="http://schemas.microsoft.com/office/excel/2006/main">
          <x14:cfRule type="dataBar" id="{8DCCDFC5-613F-4E79-B5ED-39962903C2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G16:G19</xm:sqref>
        </x14:conditionalFormatting>
        <x14:conditionalFormatting xmlns:xm="http://schemas.microsoft.com/office/excel/2006/main">
          <x14:cfRule type="dataBar" id="{1A10DECD-A191-4B1A-BF11-18FA744616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G20:G22</xm:sqref>
        </x14:conditionalFormatting>
        <x14:conditionalFormatting xmlns:xm="http://schemas.microsoft.com/office/excel/2006/main">
          <x14:cfRule type="dataBar" id="{15139A63-494F-4A92-9939-2B7CC1EF03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G23:G26</xm:sqref>
        </x14:conditionalFormatting>
        <x14:conditionalFormatting xmlns:xm="http://schemas.microsoft.com/office/excel/2006/main">
          <x14:cfRule type="dataBar" id="{694ECCA8-27A3-4876-8460-0B05BB7941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0744EAF-62B9-4026-90B1-CFA3A1855B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6FA9C-4C0D-4BEE-A852-D2A75733DE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G7:G8</xm:sqref>
        </x14:conditionalFormatting>
        <x14:conditionalFormatting xmlns:xm="http://schemas.microsoft.com/office/excel/2006/main">
          <x14:cfRule type="dataBar" id="{2C99F8AC-73FB-43B5-95C5-A4432AF00F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FB849-238A-456B-9122-728B64B0C2C7}">
  <sheetPr codeName="Sheet2">
    <pageSetUpPr fitToPage="1"/>
  </sheetPr>
  <dimension ref="A1:L23"/>
  <sheetViews>
    <sheetView zoomScaleNormal="100" workbookViewId="0"/>
  </sheetViews>
  <sheetFormatPr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0" max="10" width="11.5820312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SUM(I3:I34)</f>
        <v>497.68713813068649</v>
      </c>
      <c r="L2" s="120"/>
    </row>
    <row r="3" spans="1:12" ht="25" customHeight="1" x14ac:dyDescent="0.3">
      <c r="A3" s="117" t="s">
        <v>7</v>
      </c>
      <c r="B3" s="18" t="s">
        <v>13</v>
      </c>
      <c r="C3" s="11">
        <v>0</v>
      </c>
      <c r="D3" s="12">
        <v>0.8</v>
      </c>
      <c r="E3" s="12">
        <v>0</v>
      </c>
      <c r="F3" s="29">
        <v>13</v>
      </c>
      <c r="G3" s="30">
        <f>(D3-C3)/(F3-C3)</f>
        <v>6.1538461538461542E-2</v>
      </c>
      <c r="H3" s="29">
        <v>700</v>
      </c>
      <c r="I3" s="31">
        <f>((D3-E3)/F3)*H3</f>
        <v>43.07692307692308</v>
      </c>
      <c r="K3" s="120"/>
      <c r="L3" s="120"/>
    </row>
    <row r="4" spans="1:12" ht="25" customHeight="1" x14ac:dyDescent="0.3">
      <c r="A4" s="118"/>
      <c r="B4" s="18" t="s">
        <v>31</v>
      </c>
      <c r="C4" s="11">
        <v>0</v>
      </c>
      <c r="D4" s="60">
        <v>3</v>
      </c>
      <c r="E4" s="60">
        <v>3</v>
      </c>
      <c r="F4" s="59">
        <v>65</v>
      </c>
      <c r="G4" s="30">
        <f t="shared" ref="G4:G22" si="0">(D4-C4)/(F4-C4)</f>
        <v>4.6153846153846156E-2</v>
      </c>
      <c r="H4" s="29">
        <v>1500</v>
      </c>
      <c r="I4" s="31">
        <f t="shared" ref="I4:I22" si="1">((D4-E4)/F4)*H4</f>
        <v>0</v>
      </c>
    </row>
    <row r="5" spans="1:12" ht="25" customHeight="1" x14ac:dyDescent="0.3">
      <c r="A5" s="119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44746</v>
      </c>
      <c r="L5" s="7">
        <v>0.8652777777777777</v>
      </c>
    </row>
    <row r="6" spans="1:12" s="39" customFormat="1" ht="5" customHeight="1" x14ac:dyDescent="0.3">
      <c r="A6" s="62"/>
      <c r="B6" s="63"/>
      <c r="C6" s="63"/>
      <c r="D6" s="63"/>
      <c r="E6" s="63"/>
      <c r="F6" s="63"/>
      <c r="G6" s="64"/>
      <c r="H6" s="52"/>
      <c r="I6" s="54"/>
      <c r="J6" s="36"/>
      <c r="K6" s="37"/>
      <c r="L6" s="38"/>
    </row>
    <row r="7" spans="1:12" ht="25" customHeight="1" x14ac:dyDescent="0.3">
      <c r="A7" s="106" t="s">
        <v>8</v>
      </c>
      <c r="B7" s="19" t="s">
        <v>15</v>
      </c>
      <c r="C7" s="11">
        <v>0</v>
      </c>
      <c r="D7" s="12">
        <v>2.7</v>
      </c>
      <c r="E7" s="12">
        <v>0</v>
      </c>
      <c r="F7" s="29">
        <v>8</v>
      </c>
      <c r="G7" s="30">
        <f t="shared" si="0"/>
        <v>0.33750000000000002</v>
      </c>
      <c r="H7" s="29">
        <v>500</v>
      </c>
      <c r="I7" s="31">
        <f t="shared" si="1"/>
        <v>168.75</v>
      </c>
    </row>
    <row r="8" spans="1:12" ht="25" customHeight="1" x14ac:dyDescent="0.3">
      <c r="A8" s="108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61"/>
    </row>
    <row r="9" spans="1:12" s="39" customFormat="1" ht="5" customHeight="1" x14ac:dyDescent="0.3">
      <c r="A9" s="49"/>
      <c r="B9" s="55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109" t="s">
        <v>9</v>
      </c>
      <c r="B10" s="20" t="s">
        <v>17</v>
      </c>
      <c r="C10" s="11">
        <v>0</v>
      </c>
      <c r="D10" s="12">
        <v>2</v>
      </c>
      <c r="E10" s="12">
        <v>0</v>
      </c>
      <c r="F10" s="29">
        <v>12</v>
      </c>
      <c r="G10" s="30">
        <f t="shared" si="0"/>
        <v>0.16666666666666666</v>
      </c>
      <c r="H10" s="29">
        <v>400</v>
      </c>
      <c r="I10" s="31">
        <f t="shared" si="1"/>
        <v>66.666666666666657</v>
      </c>
      <c r="K10" s="112"/>
      <c r="L10" s="112"/>
    </row>
    <row r="11" spans="1:12" ht="25" customHeight="1" x14ac:dyDescent="0.3">
      <c r="A11" s="111"/>
      <c r="B11" s="20" t="s">
        <v>18</v>
      </c>
      <c r="C11" s="11">
        <v>0</v>
      </c>
      <c r="D11" s="12">
        <v>10</v>
      </c>
      <c r="E11" s="12">
        <v>0</v>
      </c>
      <c r="F11" s="29">
        <v>31</v>
      </c>
      <c r="G11" s="30">
        <f t="shared" si="0"/>
        <v>0.32258064516129031</v>
      </c>
      <c r="H11" s="29">
        <v>230</v>
      </c>
      <c r="I11" s="31">
        <f t="shared" si="1"/>
        <v>74.193548387096769</v>
      </c>
    </row>
    <row r="12" spans="1:12" s="39" customFormat="1" ht="5" customHeight="1" x14ac:dyDescent="0.3">
      <c r="A12" s="49"/>
      <c r="B12" s="56"/>
      <c r="C12" s="50"/>
      <c r="D12" s="51"/>
      <c r="E12" s="51"/>
      <c r="F12" s="52"/>
      <c r="G12" s="53"/>
      <c r="H12" s="52"/>
      <c r="I12" s="54"/>
    </row>
    <row r="13" spans="1:12" ht="25" customHeight="1" x14ac:dyDescent="0.3">
      <c r="A13" s="113" t="s">
        <v>19</v>
      </c>
      <c r="B13" s="21" t="s">
        <v>36</v>
      </c>
      <c r="C13" s="11">
        <v>0</v>
      </c>
      <c r="D13" s="12">
        <v>1</v>
      </c>
      <c r="E13" s="12">
        <v>0</v>
      </c>
      <c r="F13" s="29">
        <v>10</v>
      </c>
      <c r="G13" s="30">
        <f t="shared" si="0"/>
        <v>0.1</v>
      </c>
      <c r="H13" s="29">
        <v>550</v>
      </c>
      <c r="I13" s="31">
        <f t="shared" si="1"/>
        <v>55</v>
      </c>
    </row>
    <row r="14" spans="1:12" ht="25" customHeight="1" x14ac:dyDescent="0.3">
      <c r="A14" s="114"/>
      <c r="B14" s="21" t="s">
        <v>26</v>
      </c>
      <c r="C14" s="11">
        <v>91</v>
      </c>
      <c r="D14" s="12">
        <v>91</v>
      </c>
      <c r="E14" s="12">
        <v>91</v>
      </c>
      <c r="F14" s="29">
        <v>107</v>
      </c>
      <c r="G14" s="30">
        <f t="shared" si="0"/>
        <v>0</v>
      </c>
      <c r="H14" s="29">
        <v>500</v>
      </c>
      <c r="I14" s="31">
        <f t="shared" si="1"/>
        <v>0</v>
      </c>
    </row>
    <row r="15" spans="1:12" ht="25" customHeight="1" x14ac:dyDescent="0.3">
      <c r="A15" s="115"/>
      <c r="B15" s="21" t="s">
        <v>33</v>
      </c>
      <c r="C15" s="11">
        <v>0</v>
      </c>
      <c r="D15" s="12">
        <v>0</v>
      </c>
      <c r="E15" s="12">
        <v>0</v>
      </c>
      <c r="F15" s="29">
        <v>28</v>
      </c>
      <c r="G15" s="30">
        <f t="shared" si="0"/>
        <v>0</v>
      </c>
      <c r="H15" s="29">
        <v>2700</v>
      </c>
      <c r="I15" s="31">
        <f t="shared" si="1"/>
        <v>0</v>
      </c>
    </row>
    <row r="16" spans="1:12" s="39" customFormat="1" ht="5" customHeight="1" x14ac:dyDescent="0.3">
      <c r="A16" s="49"/>
      <c r="B16" s="57"/>
      <c r="C16" s="50"/>
      <c r="D16" s="51"/>
      <c r="E16" s="51"/>
      <c r="F16" s="52"/>
      <c r="G16" s="53"/>
      <c r="H16" s="52"/>
      <c r="I16" s="54"/>
    </row>
    <row r="17" spans="1:9" ht="25" customHeight="1" x14ac:dyDescent="0.3">
      <c r="A17" s="97" t="s">
        <v>22</v>
      </c>
      <c r="B17" s="22" t="s">
        <v>32</v>
      </c>
      <c r="C17" s="11">
        <v>0</v>
      </c>
      <c r="D17" s="12">
        <v>4.0999999999999996</v>
      </c>
      <c r="E17" s="12">
        <v>4.0999999999999996</v>
      </c>
      <c r="F17" s="29">
        <v>28</v>
      </c>
      <c r="G17" s="30">
        <f t="shared" si="0"/>
        <v>0.14642857142857141</v>
      </c>
      <c r="H17" s="29">
        <v>2500</v>
      </c>
      <c r="I17" s="31">
        <f t="shared" si="1"/>
        <v>0</v>
      </c>
    </row>
    <row r="18" spans="1:9" ht="25" customHeight="1" x14ac:dyDescent="0.3">
      <c r="A18" s="98"/>
      <c r="B18" s="22" t="s">
        <v>37</v>
      </c>
      <c r="C18" s="11">
        <v>0</v>
      </c>
      <c r="D18" s="12">
        <v>1</v>
      </c>
      <c r="E18" s="12">
        <v>1</v>
      </c>
      <c r="F18" s="29">
        <v>10</v>
      </c>
      <c r="G18" s="30">
        <f t="shared" si="0"/>
        <v>0.1</v>
      </c>
      <c r="H18" s="29">
        <v>450</v>
      </c>
      <c r="I18" s="31">
        <f t="shared" si="1"/>
        <v>0</v>
      </c>
    </row>
    <row r="19" spans="1:9" s="39" customFormat="1" ht="5" customHeight="1" x14ac:dyDescent="0.3">
      <c r="A19" s="49"/>
      <c r="B19" s="58"/>
      <c r="C19" s="50"/>
      <c r="D19" s="51"/>
      <c r="E19" s="51"/>
      <c r="F19" s="52"/>
      <c r="G19" s="53"/>
      <c r="H19" s="52"/>
      <c r="I19" s="54"/>
    </row>
    <row r="20" spans="1:9" ht="25" customHeight="1" x14ac:dyDescent="0.3">
      <c r="A20" s="99" t="s">
        <v>24</v>
      </c>
      <c r="B20" s="23" t="s">
        <v>34</v>
      </c>
      <c r="C20" s="11">
        <v>72</v>
      </c>
      <c r="D20" s="12">
        <v>72</v>
      </c>
      <c r="E20" s="12">
        <v>72</v>
      </c>
      <c r="F20" s="29">
        <v>103</v>
      </c>
      <c r="G20" s="30">
        <f t="shared" si="0"/>
        <v>0</v>
      </c>
      <c r="H20" s="29">
        <v>630</v>
      </c>
      <c r="I20" s="31">
        <f t="shared" si="1"/>
        <v>0</v>
      </c>
    </row>
    <row r="21" spans="1:9" ht="25" customHeight="1" x14ac:dyDescent="0.3">
      <c r="A21" s="100"/>
      <c r="B21" s="23" t="s">
        <v>38</v>
      </c>
      <c r="C21" s="11">
        <v>0</v>
      </c>
      <c r="D21" s="12">
        <v>2</v>
      </c>
      <c r="E21" s="12">
        <v>0</v>
      </c>
      <c r="F21" s="29">
        <v>10</v>
      </c>
      <c r="G21" s="30">
        <f t="shared" si="0"/>
        <v>0.2</v>
      </c>
      <c r="H21" s="29">
        <v>450</v>
      </c>
      <c r="I21" s="31">
        <f t="shared" si="1"/>
        <v>90</v>
      </c>
    </row>
    <row r="22" spans="1:9" ht="25" customHeight="1" x14ac:dyDescent="0.3">
      <c r="A22" s="101"/>
      <c r="B22" s="24" t="s">
        <v>35</v>
      </c>
      <c r="C22" s="13">
        <v>0</v>
      </c>
      <c r="D22" s="14">
        <v>0</v>
      </c>
      <c r="E22" s="14">
        <v>0</v>
      </c>
      <c r="F22" s="32">
        <v>28</v>
      </c>
      <c r="G22" s="33">
        <f t="shared" si="0"/>
        <v>0</v>
      </c>
      <c r="H22" s="32">
        <v>2300</v>
      </c>
      <c r="I22" s="34">
        <f t="shared" si="1"/>
        <v>0</v>
      </c>
    </row>
    <row r="23" spans="1:9" s="39" customFormat="1" ht="5" customHeight="1" x14ac:dyDescent="0.3">
      <c r="A23" s="42"/>
      <c r="B23" s="43"/>
      <c r="C23" s="44"/>
      <c r="D23" s="45"/>
      <c r="E23" s="45"/>
      <c r="F23" s="46"/>
      <c r="G23" s="47"/>
      <c r="H23" s="46"/>
      <c r="I23" s="48"/>
    </row>
  </sheetData>
  <mergeCells count="8">
    <mergeCell ref="A17:A18"/>
    <mergeCell ref="A20:A22"/>
    <mergeCell ref="K2:L3"/>
    <mergeCell ref="A3:A5"/>
    <mergeCell ref="A7:A8"/>
    <mergeCell ref="A10:A11"/>
    <mergeCell ref="K10:L10"/>
    <mergeCell ref="A13:A15"/>
  </mergeCells>
  <phoneticPr fontId="1" type="noConversion"/>
  <conditionalFormatting sqref="G3:G5 G7:G23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{8939DDEE-A4A0-452B-8513-53CE743513FE}</x14:id>
        </ext>
      </extLst>
    </cfRule>
  </conditionalFormatting>
  <conditionalFormatting sqref="G13:G16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{11640BB5-16A1-41C8-9345-A98ECA89840D}</x14:id>
        </ext>
      </extLst>
    </cfRule>
  </conditionalFormatting>
  <conditionalFormatting sqref="G17:G19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{C26FE49B-A185-479E-9676-76B732F798E8}</x14:id>
        </ext>
      </extLst>
    </cfRule>
  </conditionalFormatting>
  <conditionalFormatting sqref="G20:G23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{2C858588-4B6F-4EF9-8C67-61C56111CA98}</x14:id>
        </ext>
      </extLst>
    </cfRule>
  </conditionalFormatting>
  <conditionalFormatting sqref="G7:G8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{B4F23F6E-EB52-4E76-B3F5-D5BE66E619FD}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{F12DD3AA-4300-4412-856E-79574F805492}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{184EE872-7E55-4A01-9417-FA1E68ABCF68}</x14:id>
        </ext>
      </extLst>
    </cfRule>
  </conditionalFormatting>
  <conditionalFormatting sqref="G10:G11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{E146BF67-4AE0-4D22-B6A2-A35392414677}</x14:id>
        </ext>
      </extLst>
    </cfRule>
  </conditionalFormatting>
  <pageMargins left="0.7" right="0.7" top="0.75" bottom="0.75" header="0.3" footer="0.3"/>
  <pageSetup paperSize="9" scale="58" orientation="landscape" verticalDpi="0" r:id="rId1"/>
  <drawing r:id="rId2"/>
  <webPublishItems count="1">
    <webPublishItem id="12012" divId="暑假任务跟踪表_12012" sourceType="sheet" destinationFile="C:\Users\Kyle Mao\Desktop\暑假任务跟踪表.htm" title="Summer Holiday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39DDEE-A4A0-452B-8513-53CE743513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G3:G5 G7:G23</xm:sqref>
        </x14:conditionalFormatting>
        <x14:conditionalFormatting xmlns:xm="http://schemas.microsoft.com/office/excel/2006/main">
          <x14:cfRule type="dataBar" id="{11640BB5-16A1-41C8-9345-A98ECA8984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G13:G16</xm:sqref>
        </x14:conditionalFormatting>
        <x14:conditionalFormatting xmlns:xm="http://schemas.microsoft.com/office/excel/2006/main">
          <x14:cfRule type="dataBar" id="{C26FE49B-A185-479E-9676-76B732F798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G17:G19</xm:sqref>
        </x14:conditionalFormatting>
        <x14:conditionalFormatting xmlns:xm="http://schemas.microsoft.com/office/excel/2006/main">
          <x14:cfRule type="dataBar" id="{2C858588-4B6F-4EF9-8C67-61C56111CA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B4F23F6E-EB52-4E76-B3F5-D5BE66E619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F12DD3AA-4300-4412-856E-79574F8054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4EE872-7E55-4A01-9417-FA1E68ABCF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G7:G8</xm:sqref>
        </x14:conditionalFormatting>
        <x14:conditionalFormatting xmlns:xm="http://schemas.microsoft.com/office/excel/2006/main">
          <x14:cfRule type="dataBar" id="{E146BF67-4AE0-4D22-B6A2-A353924146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2D37-9BE6-4617-9F0D-C4747042C15E}">
  <sheetPr codeName="Sheet1">
    <pageSetUpPr fitToPage="1"/>
  </sheetPr>
  <dimension ref="A1:L23"/>
  <sheetViews>
    <sheetView zoomScaleNormal="100" workbookViewId="0"/>
  </sheetViews>
  <sheetFormatPr defaultRowHeight="14" x14ac:dyDescent="0.3"/>
  <cols>
    <col min="1" max="1" width="9.6640625" customWidth="1"/>
    <col min="2" max="2" width="27.83203125" customWidth="1"/>
    <col min="3" max="3" width="9.75" style="2" hidden="1" customWidth="1"/>
    <col min="4" max="4" width="9.9140625" customWidth="1"/>
    <col min="5" max="5" width="11.58203125" hidden="1" customWidth="1"/>
    <col min="6" max="6" width="11.1640625" style="2" hidden="1" customWidth="1"/>
    <col min="7" max="7" width="121.25" customWidth="1"/>
    <col min="8" max="8" width="9.58203125" style="2" hidden="1" customWidth="1"/>
    <col min="9" max="9" width="9.5" customWidth="1"/>
    <col min="10" max="10" width="11.58203125" customWidth="1"/>
    <col min="11" max="11" width="9.33203125" customWidth="1"/>
    <col min="12" max="12" width="10.0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102">
        <f>SUM(I3:I34)</f>
        <v>56.25</v>
      </c>
      <c r="L2" s="120"/>
    </row>
    <row r="3" spans="1:12" ht="25" customHeight="1" x14ac:dyDescent="0.3">
      <c r="A3" s="123" t="s">
        <v>7</v>
      </c>
      <c r="B3" s="18" t="s">
        <v>13</v>
      </c>
      <c r="C3" s="11">
        <v>0</v>
      </c>
      <c r="D3" s="12">
        <v>0</v>
      </c>
      <c r="E3" s="12">
        <v>0</v>
      </c>
      <c r="F3" s="29">
        <v>13</v>
      </c>
      <c r="G3" s="30">
        <f>(D3-C3)/(F3-C3)</f>
        <v>0</v>
      </c>
      <c r="H3" s="29">
        <v>700</v>
      </c>
      <c r="I3" s="31">
        <f>((D3-E3)/F3)*H3</f>
        <v>0</v>
      </c>
      <c r="K3" s="120"/>
      <c r="L3" s="120"/>
    </row>
    <row r="4" spans="1:12" ht="25" customHeight="1" x14ac:dyDescent="0.3">
      <c r="A4" s="123"/>
      <c r="B4" s="18" t="s">
        <v>31</v>
      </c>
      <c r="C4" s="11">
        <v>0</v>
      </c>
      <c r="D4" s="60">
        <v>3</v>
      </c>
      <c r="E4" s="60">
        <v>3</v>
      </c>
      <c r="F4" s="59">
        <v>65</v>
      </c>
      <c r="G4" s="30">
        <f t="shared" ref="G4:G22" si="0">(D4-C4)/(F4-C4)</f>
        <v>4.6153846153846156E-2</v>
      </c>
      <c r="H4" s="29">
        <v>1500</v>
      </c>
      <c r="I4" s="31">
        <f t="shared" ref="I4:I22" si="1">((D4-E4)/F4)*H4</f>
        <v>0</v>
      </c>
    </row>
    <row r="5" spans="1:12" ht="25" customHeight="1" x14ac:dyDescent="0.3">
      <c r="A5" s="123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44745</v>
      </c>
      <c r="L5" s="7">
        <v>0.6479166666666667</v>
      </c>
    </row>
    <row r="6" spans="1:12" s="39" customFormat="1" ht="5" customHeight="1" x14ac:dyDescent="0.3">
      <c r="A6" s="49"/>
      <c r="B6" s="63"/>
      <c r="C6" s="50"/>
      <c r="D6" s="51"/>
      <c r="E6" s="51"/>
      <c r="F6" s="52"/>
      <c r="G6" s="53"/>
      <c r="H6" s="52"/>
      <c r="I6" s="54"/>
      <c r="J6" s="36"/>
      <c r="K6" s="37"/>
      <c r="L6" s="38"/>
    </row>
    <row r="7" spans="1:12" ht="25" customHeight="1" x14ac:dyDescent="0.3">
      <c r="A7" s="124" t="s">
        <v>8</v>
      </c>
      <c r="B7" s="19" t="s">
        <v>15</v>
      </c>
      <c r="C7" s="11">
        <v>0</v>
      </c>
      <c r="D7" s="12">
        <v>0</v>
      </c>
      <c r="E7" s="12">
        <v>0</v>
      </c>
      <c r="F7" s="29">
        <v>8</v>
      </c>
      <c r="G7" s="30">
        <f t="shared" si="0"/>
        <v>0</v>
      </c>
      <c r="H7" s="29">
        <v>500</v>
      </c>
      <c r="I7" s="31">
        <f t="shared" si="1"/>
        <v>0</v>
      </c>
    </row>
    <row r="8" spans="1:12" ht="25" customHeight="1" x14ac:dyDescent="0.3">
      <c r="A8" s="124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10"/>
    </row>
    <row r="9" spans="1:12" s="39" customFormat="1" ht="5" customHeight="1" x14ac:dyDescent="0.3">
      <c r="A9" s="49"/>
      <c r="B9" s="55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125" t="s">
        <v>9</v>
      </c>
      <c r="B10" s="20" t="s">
        <v>17</v>
      </c>
      <c r="C10" s="11">
        <v>0</v>
      </c>
      <c r="D10" s="12">
        <v>0</v>
      </c>
      <c r="E10" s="12">
        <v>0</v>
      </c>
      <c r="F10" s="29">
        <v>12</v>
      </c>
      <c r="G10" s="30">
        <f t="shared" si="0"/>
        <v>0</v>
      </c>
      <c r="H10" s="29">
        <v>400</v>
      </c>
      <c r="I10" s="31">
        <f t="shared" si="1"/>
        <v>0</v>
      </c>
      <c r="K10" s="112"/>
      <c r="L10" s="112"/>
    </row>
    <row r="11" spans="1:12" ht="25" customHeight="1" x14ac:dyDescent="0.3">
      <c r="A11" s="125"/>
      <c r="B11" s="20" t="s">
        <v>18</v>
      </c>
      <c r="C11" s="11">
        <v>0</v>
      </c>
      <c r="D11" s="12">
        <v>0</v>
      </c>
      <c r="E11" s="12">
        <v>0</v>
      </c>
      <c r="F11" s="29">
        <v>31</v>
      </c>
      <c r="G11" s="30">
        <f t="shared" si="0"/>
        <v>0</v>
      </c>
      <c r="H11" s="29">
        <v>230</v>
      </c>
      <c r="I11" s="31">
        <f t="shared" si="1"/>
        <v>0</v>
      </c>
    </row>
    <row r="12" spans="1:12" s="39" customFormat="1" ht="5" customHeight="1" x14ac:dyDescent="0.3">
      <c r="A12" s="49"/>
      <c r="B12" s="56"/>
      <c r="C12" s="50"/>
      <c r="D12" s="51"/>
      <c r="E12" s="51"/>
      <c r="F12" s="52"/>
      <c r="G12" s="53"/>
      <c r="H12" s="52"/>
      <c r="I12" s="54"/>
    </row>
    <row r="13" spans="1:12" ht="25" customHeight="1" x14ac:dyDescent="0.3">
      <c r="A13" s="126" t="s">
        <v>19</v>
      </c>
      <c r="B13" s="21" t="s">
        <v>27</v>
      </c>
      <c r="C13" s="11">
        <v>0</v>
      </c>
      <c r="D13" s="12">
        <v>0</v>
      </c>
      <c r="E13" s="12">
        <v>0</v>
      </c>
      <c r="F13" s="29">
        <v>8</v>
      </c>
      <c r="G13" s="30">
        <f t="shared" si="0"/>
        <v>0</v>
      </c>
      <c r="H13" s="29">
        <v>550</v>
      </c>
      <c r="I13" s="31">
        <f t="shared" si="1"/>
        <v>0</v>
      </c>
    </row>
    <row r="14" spans="1:12" ht="25" customHeight="1" x14ac:dyDescent="0.3">
      <c r="A14" s="126"/>
      <c r="B14" s="21" t="s">
        <v>26</v>
      </c>
      <c r="C14" s="11">
        <v>91</v>
      </c>
      <c r="D14" s="12">
        <v>91</v>
      </c>
      <c r="E14" s="12">
        <v>91</v>
      </c>
      <c r="F14" s="29">
        <v>107</v>
      </c>
      <c r="G14" s="30">
        <f t="shared" si="0"/>
        <v>0</v>
      </c>
      <c r="H14" s="29">
        <v>500</v>
      </c>
      <c r="I14" s="31">
        <f t="shared" si="1"/>
        <v>0</v>
      </c>
    </row>
    <row r="15" spans="1:12" ht="25" customHeight="1" x14ac:dyDescent="0.3">
      <c r="A15" s="126"/>
      <c r="B15" s="21" t="s">
        <v>21</v>
      </c>
      <c r="C15" s="11">
        <v>0</v>
      </c>
      <c r="D15" s="12">
        <v>0</v>
      </c>
      <c r="E15" s="12">
        <v>0</v>
      </c>
      <c r="F15" s="29">
        <v>28</v>
      </c>
      <c r="G15" s="30">
        <f t="shared" si="0"/>
        <v>0</v>
      </c>
      <c r="H15" s="29">
        <v>2700</v>
      </c>
      <c r="I15" s="31">
        <f t="shared" si="1"/>
        <v>0</v>
      </c>
    </row>
    <row r="16" spans="1:12" s="39" customFormat="1" ht="5" customHeight="1" x14ac:dyDescent="0.3">
      <c r="A16" s="49"/>
      <c r="B16" s="57"/>
      <c r="C16" s="50"/>
      <c r="D16" s="51"/>
      <c r="E16" s="51"/>
      <c r="F16" s="52"/>
      <c r="G16" s="53"/>
      <c r="H16" s="52"/>
      <c r="I16" s="54"/>
    </row>
    <row r="17" spans="1:9" ht="25" customHeight="1" x14ac:dyDescent="0.3">
      <c r="A17" s="127" t="s">
        <v>22</v>
      </c>
      <c r="B17" s="22" t="s">
        <v>23</v>
      </c>
      <c r="C17" s="11">
        <v>0</v>
      </c>
      <c r="D17" s="12">
        <v>4.0999999999999996</v>
      </c>
      <c r="E17" s="12">
        <v>4.0999999999999996</v>
      </c>
      <c r="F17" s="29">
        <v>28</v>
      </c>
      <c r="G17" s="30">
        <f t="shared" si="0"/>
        <v>0.14642857142857141</v>
      </c>
      <c r="H17" s="29">
        <v>2500</v>
      </c>
      <c r="I17" s="31">
        <f t="shared" si="1"/>
        <v>0</v>
      </c>
    </row>
    <row r="18" spans="1:9" ht="25" customHeight="1" x14ac:dyDescent="0.3">
      <c r="A18" s="127" t="s">
        <v>22</v>
      </c>
      <c r="B18" s="22" t="s">
        <v>20</v>
      </c>
      <c r="C18" s="11">
        <v>0</v>
      </c>
      <c r="D18" s="12">
        <v>1</v>
      </c>
      <c r="E18" s="12">
        <v>0</v>
      </c>
      <c r="F18" s="29">
        <v>8</v>
      </c>
      <c r="G18" s="30">
        <f t="shared" si="0"/>
        <v>0.125</v>
      </c>
      <c r="H18" s="29">
        <v>450</v>
      </c>
      <c r="I18" s="31">
        <f t="shared" si="1"/>
        <v>56.25</v>
      </c>
    </row>
    <row r="19" spans="1:9" s="39" customFormat="1" ht="5" customHeight="1" x14ac:dyDescent="0.3">
      <c r="A19" s="49"/>
      <c r="B19" s="58"/>
      <c r="C19" s="50"/>
      <c r="D19" s="51"/>
      <c r="E19" s="51"/>
      <c r="F19" s="52"/>
      <c r="G19" s="53"/>
      <c r="H19" s="52"/>
      <c r="I19" s="54"/>
    </row>
    <row r="20" spans="1:9" ht="25" customHeight="1" x14ac:dyDescent="0.3">
      <c r="A20" s="121" t="s">
        <v>24</v>
      </c>
      <c r="B20" s="23" t="s">
        <v>25</v>
      </c>
      <c r="C20" s="11">
        <v>72</v>
      </c>
      <c r="D20" s="12">
        <v>72</v>
      </c>
      <c r="E20" s="12">
        <v>72</v>
      </c>
      <c r="F20" s="29">
        <v>103</v>
      </c>
      <c r="G20" s="30">
        <f t="shared" si="0"/>
        <v>0</v>
      </c>
      <c r="H20" s="29">
        <v>630</v>
      </c>
      <c r="I20" s="31">
        <f t="shared" si="1"/>
        <v>0</v>
      </c>
    </row>
    <row r="21" spans="1:9" ht="25" customHeight="1" x14ac:dyDescent="0.3">
      <c r="A21" s="121"/>
      <c r="B21" s="23" t="s">
        <v>20</v>
      </c>
      <c r="C21" s="11">
        <v>0</v>
      </c>
      <c r="D21" s="12">
        <v>0</v>
      </c>
      <c r="E21" s="12">
        <v>0</v>
      </c>
      <c r="F21" s="29">
        <v>8</v>
      </c>
      <c r="G21" s="30">
        <f t="shared" si="0"/>
        <v>0</v>
      </c>
      <c r="H21" s="29">
        <v>450</v>
      </c>
      <c r="I21" s="31">
        <f t="shared" si="1"/>
        <v>0</v>
      </c>
    </row>
    <row r="22" spans="1:9" ht="25" customHeight="1" x14ac:dyDescent="0.3">
      <c r="A22" s="122"/>
      <c r="B22" s="24" t="s">
        <v>23</v>
      </c>
      <c r="C22" s="13">
        <v>0</v>
      </c>
      <c r="D22" s="14">
        <v>0</v>
      </c>
      <c r="E22" s="14">
        <v>0</v>
      </c>
      <c r="F22" s="32">
        <v>28</v>
      </c>
      <c r="G22" s="33">
        <f t="shared" si="0"/>
        <v>0</v>
      </c>
      <c r="H22" s="32">
        <v>2300</v>
      </c>
      <c r="I22" s="34">
        <f t="shared" si="1"/>
        <v>0</v>
      </c>
    </row>
    <row r="23" spans="1:9" s="39" customFormat="1" ht="5" customHeight="1" x14ac:dyDescent="0.3">
      <c r="A23" s="42"/>
      <c r="B23" s="43"/>
      <c r="C23" s="44"/>
      <c r="D23" s="45"/>
      <c r="E23" s="45"/>
      <c r="F23" s="46"/>
      <c r="G23" s="47"/>
      <c r="H23" s="46"/>
      <c r="I23" s="48"/>
    </row>
  </sheetData>
  <mergeCells count="8">
    <mergeCell ref="A20:A22"/>
    <mergeCell ref="K10:L10"/>
    <mergeCell ref="A3:A5"/>
    <mergeCell ref="A7:A8"/>
    <mergeCell ref="A10:A11"/>
    <mergeCell ref="K2:L3"/>
    <mergeCell ref="A13:A15"/>
    <mergeCell ref="A17:A18"/>
  </mergeCells>
  <phoneticPr fontId="1" type="noConversion"/>
  <conditionalFormatting sqref="G3:G23">
    <cfRule type="dataBar" priority="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{73915BA5-C60D-49A1-9906-A9764F06642F}</x14:id>
        </ext>
      </extLst>
    </cfRule>
  </conditionalFormatting>
  <conditionalFormatting sqref="G13:G16">
    <cfRule type="dataBar" priority="3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{4C0F7838-BA28-4A6C-B0F2-7B36475B7073}</x14:id>
        </ext>
      </extLst>
    </cfRule>
  </conditionalFormatting>
  <conditionalFormatting sqref="G17:G19">
    <cfRule type="dataBar" priority="2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{2B21B17F-B721-49E4-BA4B-06B11433E7BF}</x14:id>
        </ext>
      </extLst>
    </cfRule>
  </conditionalFormatting>
  <conditionalFormatting sqref="G20:G23">
    <cfRule type="dataBar" priority="1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{819CA8B9-8631-4F88-A08A-0D6CC16C46F3}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915BA5-C60D-49A1-9906-A9764F0664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G3:G23</xm:sqref>
        </x14:conditionalFormatting>
        <x14:conditionalFormatting xmlns:xm="http://schemas.microsoft.com/office/excel/2006/main">
          <x14:cfRule type="dataBar" id="{4C0F7838-BA28-4A6C-B0F2-7B36475B70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G13:G16</xm:sqref>
        </x14:conditionalFormatting>
        <x14:conditionalFormatting xmlns:xm="http://schemas.microsoft.com/office/excel/2006/main">
          <x14:cfRule type="dataBar" id="{2B21B17F-B721-49E4-BA4B-06B11433E7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G17:G19</xm:sqref>
        </x14:conditionalFormatting>
        <x14:conditionalFormatting xmlns:xm="http://schemas.microsoft.com/office/excel/2006/main">
          <x14:cfRule type="dataBar" id="{819CA8B9-8631-4F88-A08A-0D6CC16C46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2425E8E6BB814DAB00BC82E95A2980" ma:contentTypeVersion="11" ma:contentTypeDescription="Create a new document." ma:contentTypeScope="" ma:versionID="6dfc15b50aafe030931f4eda71aa1fde">
  <xsd:schema xmlns:xsd="http://www.w3.org/2001/XMLSchema" xmlns:xs="http://www.w3.org/2001/XMLSchema" xmlns:p="http://schemas.microsoft.com/office/2006/metadata/properties" xmlns:ns3="1582d156-29f3-43bd-8385-dd95fae89446" targetNamespace="http://schemas.microsoft.com/office/2006/metadata/properties" ma:root="true" ma:fieldsID="f9a53f511ca82df71d70e06269b8342c" ns3:_="">
    <xsd:import namespace="1582d156-29f3-43bd-8385-dd95fae8944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82d156-29f3-43bd-8385-dd95fae894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8E5B05-6876-4316-AF02-DE5C16DDBF8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20634C-9572-40BE-A1AC-04D0C0B31F2A}">
  <ds:schemaRefs>
    <ds:schemaRef ds:uri="http://www.w3.org/XML/1998/namespace"/>
    <ds:schemaRef ds:uri="http://schemas.microsoft.com/office/2006/documentManagement/types"/>
    <ds:schemaRef ds:uri="http://purl.org/dc/elements/1.1/"/>
    <ds:schemaRef ds:uri="1582d156-29f3-43bd-8385-dd95fae89446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1FF2695-977E-4541-A089-746AD5AFB3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582d156-29f3-43bd-8385-dd95fae894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7.25</vt:lpstr>
      <vt:lpstr>7.24</vt:lpstr>
      <vt:lpstr>7.23</vt:lpstr>
      <vt:lpstr>7.22</vt:lpstr>
      <vt:lpstr>7.21</vt:lpstr>
      <vt:lpstr>7.20</vt:lpstr>
      <vt:lpstr>7.19</vt:lpstr>
      <vt:lpstr>7.18</vt:lpstr>
      <vt:lpstr>7.17</vt:lpstr>
      <vt:lpstr>7.16</vt:lpstr>
      <vt:lpstr>7.15</vt:lpstr>
      <vt:lpstr>7.14</vt:lpstr>
      <vt:lpstr>7.13</vt:lpstr>
      <vt:lpstr>7.12</vt:lpstr>
      <vt:lpstr>7.11</vt:lpstr>
      <vt:lpstr>7.10</vt:lpstr>
      <vt:lpstr>7.9</vt:lpstr>
      <vt:lpstr>7.8</vt:lpstr>
      <vt:lpstr>7.7</vt:lpstr>
      <vt:lpstr>7.6</vt:lpstr>
      <vt:lpstr>7.5</vt:lpstr>
      <vt:lpstr>7.4</vt:lpstr>
      <vt:lpstr>7.3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Mao</dc:creator>
  <cp:lastModifiedBy>Kyle Mao</cp:lastModifiedBy>
  <cp:lastPrinted>2022-07-24T13:13:55Z</cp:lastPrinted>
  <dcterms:created xsi:type="dcterms:W3CDTF">2022-07-03T03:09:30Z</dcterms:created>
  <dcterms:modified xsi:type="dcterms:W3CDTF">2022-07-25T13:33:22Z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0x010100412425E8E6BB814DAB00BC82E95A2980</vt:lpwstr>
  </property>
</Properties>
</file>