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 - mao2021\My Documents\暑假任务跟踪表\"/>
    </mc:Choice>
  </mc:AlternateContent>
  <xr:revisionPtr revIDLastSave="0" documentId="13_ncr:1_{73E19C92-1CC2-4136-B163-E8D6F661F097}" xr6:coauthVersionLast="47" xr6:coauthVersionMax="47" xr10:uidLastSave="{00000000-0000-0000-0000-000000000000}"/>
  <bookViews>
    <workbookView xWindow="-110" yWindow="-110" windowWidth="25820" windowHeight="15500" xr2:uid="{1F734ADD-3C23-4275-B183-0DB65E09A3F9}"/>
  </bookViews>
  <sheets>
    <sheet name="7.10" sheetId="9" r:id="rId1"/>
    <sheet name="7.9" sheetId="8" r:id="rId2"/>
    <sheet name="7.8" sheetId="7" r:id="rId3"/>
    <sheet name="7.7" sheetId="6" r:id="rId4"/>
    <sheet name="7.6" sheetId="5" r:id="rId5"/>
    <sheet name="7.5" sheetId="4" r:id="rId6"/>
    <sheet name="7.4" sheetId="2" r:id="rId7"/>
    <sheet name="7.3" sheetId="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9" l="1"/>
  <c r="I28" i="9"/>
  <c r="G28" i="9"/>
  <c r="I27" i="9"/>
  <c r="G27" i="9"/>
  <c r="I26" i="9"/>
  <c r="G26" i="9"/>
  <c r="I24" i="9"/>
  <c r="G24" i="9"/>
  <c r="I23" i="9"/>
  <c r="G23" i="9"/>
  <c r="I21" i="9"/>
  <c r="G21" i="9"/>
  <c r="I20" i="9"/>
  <c r="G20" i="9"/>
  <c r="I19" i="9"/>
  <c r="G19" i="9"/>
  <c r="I17" i="9"/>
  <c r="G17" i="9"/>
  <c r="I16" i="9"/>
  <c r="G16" i="9"/>
  <c r="I15" i="9"/>
  <c r="G15" i="9"/>
  <c r="I13" i="9"/>
  <c r="G13" i="9"/>
  <c r="I12" i="9"/>
  <c r="G12" i="9"/>
  <c r="I10" i="9"/>
  <c r="G10" i="9"/>
  <c r="I8" i="9"/>
  <c r="G8" i="9"/>
  <c r="G6" i="9"/>
  <c r="I5" i="9"/>
  <c r="G5" i="9"/>
  <c r="I4" i="9"/>
  <c r="G4" i="9"/>
  <c r="G3" i="9"/>
  <c r="I3" i="8"/>
  <c r="I15" i="8"/>
  <c r="G15" i="8"/>
  <c r="I28" i="8"/>
  <c r="G28" i="8"/>
  <c r="I27" i="8"/>
  <c r="G27" i="8"/>
  <c r="I26" i="8"/>
  <c r="G26" i="8"/>
  <c r="I24" i="8"/>
  <c r="G24" i="8"/>
  <c r="I23" i="8"/>
  <c r="G23" i="8"/>
  <c r="I21" i="8"/>
  <c r="G21" i="8"/>
  <c r="I20" i="8"/>
  <c r="G20" i="8"/>
  <c r="I19" i="8"/>
  <c r="G19" i="8"/>
  <c r="I17" i="8"/>
  <c r="G17" i="8"/>
  <c r="I16" i="8"/>
  <c r="G16" i="8"/>
  <c r="I13" i="8"/>
  <c r="G13" i="8"/>
  <c r="I12" i="8"/>
  <c r="G12" i="8"/>
  <c r="I10" i="8"/>
  <c r="G10" i="8"/>
  <c r="I8" i="8"/>
  <c r="G8" i="8"/>
  <c r="G6" i="8"/>
  <c r="I5" i="8"/>
  <c r="G5" i="8"/>
  <c r="I4" i="8"/>
  <c r="G4" i="8"/>
  <c r="G3" i="8"/>
  <c r="I27" i="7"/>
  <c r="G27" i="7"/>
  <c r="I26" i="7"/>
  <c r="G26" i="7"/>
  <c r="I25" i="7"/>
  <c r="G25" i="7"/>
  <c r="I23" i="7"/>
  <c r="G23" i="7"/>
  <c r="I22" i="7"/>
  <c r="G22" i="7"/>
  <c r="I20" i="7"/>
  <c r="G20" i="7"/>
  <c r="I19" i="7"/>
  <c r="G19" i="7"/>
  <c r="I18" i="7"/>
  <c r="G18" i="7"/>
  <c r="I16" i="7"/>
  <c r="G16" i="7"/>
  <c r="I15" i="7"/>
  <c r="G15" i="7"/>
  <c r="I13" i="7"/>
  <c r="G13" i="7"/>
  <c r="I12" i="7"/>
  <c r="G12" i="7"/>
  <c r="I10" i="7"/>
  <c r="G10" i="7"/>
  <c r="I8" i="7"/>
  <c r="G8" i="7"/>
  <c r="G6" i="7"/>
  <c r="I5" i="7"/>
  <c r="G5" i="7"/>
  <c r="I4" i="7"/>
  <c r="G4" i="7"/>
  <c r="I3" i="7"/>
  <c r="G3" i="7"/>
  <c r="I26" i="6"/>
  <c r="G26" i="6"/>
  <c r="I25" i="6"/>
  <c r="G25" i="6"/>
  <c r="I24" i="6"/>
  <c r="G24" i="6"/>
  <c r="I22" i="6"/>
  <c r="G22" i="6"/>
  <c r="I21" i="6"/>
  <c r="G21" i="6"/>
  <c r="I19" i="6"/>
  <c r="G19" i="6"/>
  <c r="I18" i="6"/>
  <c r="G18" i="6"/>
  <c r="I17" i="6"/>
  <c r="G17" i="6"/>
  <c r="I15" i="6"/>
  <c r="G15" i="6"/>
  <c r="I14" i="6"/>
  <c r="G14" i="6"/>
  <c r="I12" i="6"/>
  <c r="G12" i="6"/>
  <c r="I11" i="6"/>
  <c r="G11" i="6"/>
  <c r="I9" i="6"/>
  <c r="G9" i="6"/>
  <c r="I8" i="6"/>
  <c r="G8" i="6"/>
  <c r="G6" i="6"/>
  <c r="I5" i="6"/>
  <c r="G5" i="6"/>
  <c r="I4" i="6"/>
  <c r="G4" i="6"/>
  <c r="I3" i="6"/>
  <c r="G3" i="6"/>
  <c r="G6" i="5"/>
  <c r="I26" i="5"/>
  <c r="G26" i="5"/>
  <c r="I25" i="5"/>
  <c r="G25" i="5"/>
  <c r="I24" i="5"/>
  <c r="G24" i="5"/>
  <c r="I22" i="5"/>
  <c r="G22" i="5"/>
  <c r="I21" i="5"/>
  <c r="G21" i="5"/>
  <c r="I19" i="5"/>
  <c r="G19" i="5"/>
  <c r="I18" i="5"/>
  <c r="G18" i="5"/>
  <c r="I17" i="5"/>
  <c r="G17" i="5"/>
  <c r="I15" i="5"/>
  <c r="G15" i="5"/>
  <c r="I14" i="5"/>
  <c r="G14" i="5"/>
  <c r="I12" i="5"/>
  <c r="G12" i="5"/>
  <c r="I11" i="5"/>
  <c r="G11" i="5"/>
  <c r="I9" i="5"/>
  <c r="G9" i="5"/>
  <c r="I8" i="5"/>
  <c r="G8" i="5"/>
  <c r="I5" i="5"/>
  <c r="G5" i="5"/>
  <c r="I4" i="5"/>
  <c r="G4" i="5"/>
  <c r="I3" i="5"/>
  <c r="G3" i="5"/>
  <c r="G13" i="4"/>
  <c r="I13" i="4"/>
  <c r="I11" i="4"/>
  <c r="G11" i="4"/>
  <c r="I25" i="4"/>
  <c r="G25" i="4"/>
  <c r="I24" i="4"/>
  <c r="G24" i="4"/>
  <c r="I23" i="4"/>
  <c r="G23" i="4"/>
  <c r="I21" i="4"/>
  <c r="G21" i="4"/>
  <c r="I20" i="4"/>
  <c r="G20" i="4"/>
  <c r="I18" i="4"/>
  <c r="G18" i="4"/>
  <c r="I17" i="4"/>
  <c r="G17" i="4"/>
  <c r="I16" i="4"/>
  <c r="G16" i="4"/>
  <c r="I14" i="4"/>
  <c r="G14" i="4"/>
  <c r="I10" i="4"/>
  <c r="G10" i="4"/>
  <c r="I8" i="4"/>
  <c r="G8" i="4"/>
  <c r="I7" i="4"/>
  <c r="G7" i="4"/>
  <c r="I5" i="4"/>
  <c r="G5" i="4"/>
  <c r="I4" i="4"/>
  <c r="G4" i="4"/>
  <c r="I3" i="4"/>
  <c r="G3" i="4"/>
  <c r="I22" i="2"/>
  <c r="G22" i="2"/>
  <c r="I21" i="2"/>
  <c r="G21" i="2"/>
  <c r="I20" i="2"/>
  <c r="G20" i="2"/>
  <c r="I18" i="2"/>
  <c r="G18" i="2"/>
  <c r="I17" i="2"/>
  <c r="G17" i="2"/>
  <c r="I15" i="2"/>
  <c r="G15" i="2"/>
  <c r="I14" i="2"/>
  <c r="G14" i="2"/>
  <c r="I13" i="2"/>
  <c r="G13" i="2"/>
  <c r="I11" i="2"/>
  <c r="G11" i="2"/>
  <c r="I10" i="2"/>
  <c r="G10" i="2"/>
  <c r="I8" i="2"/>
  <c r="G8" i="2"/>
  <c r="I7" i="2"/>
  <c r="G7" i="2"/>
  <c r="I5" i="2"/>
  <c r="G5" i="2"/>
  <c r="I4" i="2"/>
  <c r="G4" i="2"/>
  <c r="I3" i="2"/>
  <c r="G3" i="2"/>
  <c r="I22" i="1"/>
  <c r="I21" i="1"/>
  <c r="I20" i="1"/>
  <c r="I18" i="1"/>
  <c r="I17" i="1"/>
  <c r="I15" i="1"/>
  <c r="I14" i="1"/>
  <c r="I13" i="1"/>
  <c r="I11" i="1"/>
  <c r="G4" i="1"/>
  <c r="G5" i="1"/>
  <c r="G7" i="1"/>
  <c r="G8" i="1"/>
  <c r="G10" i="1"/>
  <c r="G11" i="1"/>
  <c r="G13" i="1"/>
  <c r="G14" i="1"/>
  <c r="G15" i="1"/>
  <c r="G17" i="1"/>
  <c r="G18" i="1"/>
  <c r="G20" i="1"/>
  <c r="G21" i="1"/>
  <c r="G22" i="1"/>
  <c r="G3" i="1"/>
  <c r="I5" i="1"/>
  <c r="I4" i="1"/>
  <c r="I7" i="1"/>
  <c r="I8" i="1"/>
  <c r="I10" i="1"/>
  <c r="I3" i="1"/>
  <c r="K2" i="9" l="1"/>
  <c r="K2" i="8"/>
  <c r="K2" i="7"/>
  <c r="K2" i="6"/>
  <c r="K2" i="5"/>
  <c r="K2" i="4"/>
  <c r="K2" i="2"/>
  <c r="K2" i="1"/>
</calcChain>
</file>

<file path=xl/sharedStrings.xml><?xml version="1.0" encoding="utf-8"?>
<sst xmlns="http://schemas.openxmlformats.org/spreadsheetml/2006/main" count="317" uniqueCount="49">
  <si>
    <t>类别</t>
    <phoneticPr fontId="1" type="noConversion"/>
  </si>
  <si>
    <t>项目</t>
    <phoneticPr fontId="1" type="noConversion"/>
  </si>
  <si>
    <t>进度</t>
    <phoneticPr fontId="1" type="noConversion"/>
  </si>
  <si>
    <t>权重</t>
    <phoneticPr fontId="1" type="noConversion"/>
  </si>
  <si>
    <t>初始值</t>
    <phoneticPr fontId="1" type="noConversion"/>
  </si>
  <si>
    <t>终止值</t>
    <phoneticPr fontId="1" type="noConversion"/>
  </si>
  <si>
    <t>百分比</t>
    <phoneticPr fontId="1" type="noConversion"/>
  </si>
  <si>
    <t>语文</t>
    <phoneticPr fontId="1" type="noConversion"/>
  </si>
  <si>
    <t>数学</t>
    <phoneticPr fontId="1" type="noConversion"/>
  </si>
  <si>
    <t>英语</t>
    <phoneticPr fontId="1" type="noConversion"/>
  </si>
  <si>
    <t>昨日进度</t>
    <phoneticPr fontId="1" type="noConversion"/>
  </si>
  <si>
    <t>今日成就</t>
    <phoneticPr fontId="1" type="noConversion"/>
  </si>
  <si>
    <t>成就值</t>
    <phoneticPr fontId="1" type="noConversion"/>
  </si>
  <si>
    <r>
      <t>暑假作业</t>
    </r>
    <r>
      <rPr>
        <sz val="14"/>
        <color theme="5" tint="-0.499984740745262"/>
        <rFont val="等线"/>
        <family val="3"/>
        <charset val="134"/>
        <scheme val="minor"/>
      </rPr>
      <t>(13)</t>
    </r>
    <phoneticPr fontId="1" type="noConversion"/>
  </si>
  <si>
    <r>
      <t>模拟卷</t>
    </r>
    <r>
      <rPr>
        <sz val="14"/>
        <color theme="5" tint="-0.499984740745262"/>
        <rFont val="等线"/>
        <family val="3"/>
        <charset val="134"/>
        <scheme val="minor"/>
      </rPr>
      <t>(38)</t>
    </r>
    <phoneticPr fontId="1" type="noConversion"/>
  </si>
  <si>
    <r>
      <t>暑假作业第一阶段</t>
    </r>
    <r>
      <rPr>
        <sz val="14"/>
        <color theme="8" tint="-0.499984740745262"/>
        <rFont val="等线"/>
        <family val="3"/>
        <charset val="134"/>
        <scheme val="minor"/>
      </rPr>
      <t>(8)</t>
    </r>
    <phoneticPr fontId="1" type="noConversion"/>
  </si>
  <si>
    <r>
      <t>模拟卷</t>
    </r>
    <r>
      <rPr>
        <sz val="14"/>
        <color theme="8" tint="-0.499984740745262"/>
        <rFont val="等线"/>
        <family val="3"/>
        <charset val="134"/>
        <scheme val="minor"/>
      </rPr>
      <t>(38)</t>
    </r>
    <phoneticPr fontId="1" type="noConversion"/>
  </si>
  <si>
    <r>
      <t>暑假作业</t>
    </r>
    <r>
      <rPr>
        <sz val="14"/>
        <color theme="9" tint="-0.499984740745262"/>
        <rFont val="等线"/>
        <family val="3"/>
        <charset val="134"/>
        <scheme val="minor"/>
      </rPr>
      <t>(12)</t>
    </r>
    <phoneticPr fontId="1" type="noConversion"/>
  </si>
  <si>
    <r>
      <t>阅读</t>
    </r>
    <r>
      <rPr>
        <sz val="14"/>
        <color theme="9" tint="-0.499984740745262"/>
        <rFont val="等线"/>
        <family val="3"/>
        <charset val="134"/>
        <scheme val="minor"/>
      </rPr>
      <t>(31)</t>
    </r>
    <phoneticPr fontId="1" type="noConversion"/>
  </si>
  <si>
    <t>物理</t>
    <phoneticPr fontId="1" type="noConversion"/>
  </si>
  <si>
    <t>暑假作业</t>
    <phoneticPr fontId="1" type="noConversion"/>
  </si>
  <si>
    <t>模拟卷(28)</t>
    <phoneticPr fontId="1" type="noConversion"/>
  </si>
  <si>
    <t>化学</t>
    <phoneticPr fontId="1" type="noConversion"/>
  </si>
  <si>
    <t>模拟卷</t>
    <phoneticPr fontId="1" type="noConversion"/>
  </si>
  <si>
    <t>生物</t>
    <phoneticPr fontId="1" type="noConversion"/>
  </si>
  <si>
    <t>53B版 细胞增殖</t>
    <phoneticPr fontId="1" type="noConversion"/>
  </si>
  <si>
    <r>
      <t>53B版 机械能</t>
    </r>
    <r>
      <rPr>
        <sz val="14"/>
        <color theme="7" tint="-0.499984740745262"/>
        <rFont val="等线"/>
        <family val="3"/>
        <charset val="134"/>
        <scheme val="minor"/>
      </rPr>
      <t>(91-107)</t>
    </r>
    <phoneticPr fontId="1" type="noConversion"/>
  </si>
  <si>
    <t>暑假作业(8)</t>
    <phoneticPr fontId="1" type="noConversion"/>
  </si>
  <si>
    <t xml:space="preserve">                                                                            暑假任务跟踪表</t>
    <phoneticPr fontId="1" type="noConversion"/>
  </si>
  <si>
    <t>更新时间</t>
    <phoneticPr fontId="1" type="noConversion"/>
  </si>
  <si>
    <t>快捷操作</t>
    <phoneticPr fontId="1" type="noConversion"/>
  </si>
  <si>
    <r>
      <t>练字</t>
    </r>
    <r>
      <rPr>
        <sz val="14"/>
        <color theme="5" tint="-0.499984740745262"/>
        <rFont val="等线"/>
        <family val="3"/>
        <charset val="134"/>
        <scheme val="minor"/>
      </rPr>
      <t>(65)</t>
    </r>
    <phoneticPr fontId="1" type="noConversion"/>
  </si>
  <si>
    <r>
      <t>模拟卷</t>
    </r>
    <r>
      <rPr>
        <sz val="14"/>
        <color rgb="FF7030A0"/>
        <rFont val="等线"/>
        <family val="3"/>
        <charset val="134"/>
        <scheme val="minor"/>
      </rPr>
      <t>(28)</t>
    </r>
    <phoneticPr fontId="1" type="noConversion"/>
  </si>
  <si>
    <r>
      <t>模拟卷</t>
    </r>
    <r>
      <rPr>
        <sz val="14"/>
        <color theme="7" tint="-0.499984740745262"/>
        <rFont val="等线"/>
        <family val="3"/>
        <charset val="134"/>
        <scheme val="minor"/>
      </rPr>
      <t>(28)</t>
    </r>
    <phoneticPr fontId="1" type="noConversion"/>
  </si>
  <si>
    <r>
      <t>53B版 细胞增殖</t>
    </r>
    <r>
      <rPr>
        <sz val="14"/>
        <color rgb="FF159F98"/>
        <rFont val="等线"/>
        <family val="3"/>
        <charset val="134"/>
        <scheme val="minor"/>
      </rPr>
      <t>(72-108)</t>
    </r>
    <phoneticPr fontId="1" type="noConversion"/>
  </si>
  <si>
    <r>
      <t>模拟卷</t>
    </r>
    <r>
      <rPr>
        <sz val="14"/>
        <color rgb="FF159F98"/>
        <rFont val="等线"/>
        <family val="3"/>
        <charset val="134"/>
        <scheme val="minor"/>
      </rPr>
      <t>(0-28)</t>
    </r>
    <phoneticPr fontId="1" type="noConversion"/>
  </si>
  <si>
    <r>
      <t>暑假作业</t>
    </r>
    <r>
      <rPr>
        <sz val="14"/>
        <color theme="7" tint="-0.499984740745262"/>
        <rFont val="等线"/>
        <family val="3"/>
        <charset val="134"/>
        <scheme val="minor"/>
      </rPr>
      <t>(10)</t>
    </r>
    <phoneticPr fontId="1" type="noConversion"/>
  </si>
  <si>
    <r>
      <t>暑假作业</t>
    </r>
    <r>
      <rPr>
        <sz val="14"/>
        <color rgb="FF7030A0"/>
        <rFont val="等线"/>
        <family val="3"/>
        <charset val="134"/>
        <scheme val="minor"/>
      </rPr>
      <t>(10)</t>
    </r>
    <phoneticPr fontId="1" type="noConversion"/>
  </si>
  <si>
    <r>
      <t>暑假作业</t>
    </r>
    <r>
      <rPr>
        <sz val="14"/>
        <color rgb="FF159F98"/>
        <rFont val="等线"/>
        <family val="3"/>
        <charset val="134"/>
        <scheme val="minor"/>
      </rPr>
      <t>(10)</t>
    </r>
    <phoneticPr fontId="1" type="noConversion"/>
  </si>
  <si>
    <t>读后续写素材整理计划</t>
    <phoneticPr fontId="1" type="noConversion"/>
  </si>
  <si>
    <r>
      <t>模拟卷</t>
    </r>
    <r>
      <rPr>
        <sz val="14"/>
        <color rgb="FF159F98"/>
        <rFont val="等线"/>
        <family val="3"/>
        <charset val="134"/>
        <scheme val="minor"/>
      </rPr>
      <t>(28)</t>
    </r>
    <phoneticPr fontId="1" type="noConversion"/>
  </si>
  <si>
    <t>#NaN#</t>
    <phoneticPr fontId="1" type="noConversion"/>
  </si>
  <si>
    <t>听力：专项训练部分</t>
    <phoneticPr fontId="1" type="noConversion"/>
  </si>
  <si>
    <r>
      <t>模拟卷</t>
    </r>
    <r>
      <rPr>
        <sz val="14"/>
        <color theme="9" tint="-0.499984740745262"/>
        <rFont val="等线"/>
        <family val="3"/>
        <charset val="134"/>
        <scheme val="minor"/>
      </rPr>
      <t>(38)</t>
    </r>
    <phoneticPr fontId="1" type="noConversion"/>
  </si>
  <si>
    <t>《三体Ⅱ》</t>
    <phoneticPr fontId="1" type="noConversion"/>
  </si>
  <si>
    <t>网课及其作业</t>
    <phoneticPr fontId="1" type="noConversion"/>
  </si>
  <si>
    <r>
      <t>高考3500词</t>
    </r>
    <r>
      <rPr>
        <sz val="14"/>
        <color theme="9" tint="-0.499984740745262"/>
        <rFont val="等线"/>
        <family val="3"/>
        <charset val="134"/>
        <scheme val="minor"/>
      </rPr>
      <t>(495)</t>
    </r>
    <phoneticPr fontId="1" type="noConversion"/>
  </si>
  <si>
    <r>
      <t>暑假作业</t>
    </r>
    <r>
      <rPr>
        <sz val="14"/>
        <color rgb="FF7030A0"/>
        <rFont val="等线"/>
        <family val="3"/>
        <charset val="134"/>
        <scheme val="minor"/>
      </rPr>
      <t>(8)</t>
    </r>
    <phoneticPr fontId="1" type="noConversion"/>
  </si>
  <si>
    <r>
      <t>暑假作业</t>
    </r>
    <r>
      <rPr>
        <sz val="14"/>
        <color rgb="FF159F98"/>
        <rFont val="等线"/>
        <family val="3"/>
        <charset val="134"/>
        <scheme val="minor"/>
      </rPr>
      <t>(8)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</si>
</sst>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2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6"/>
      <color theme="1"/>
      <name val="等线"/>
      <family val="3"/>
      <charset val="134"/>
      <scheme val="minor"/>
    </font>
    <font>
      <sz val="16"/>
      <color theme="0" tint="-0.499984740745262"/>
      <name val="等线"/>
      <family val="3"/>
      <charset val="134"/>
      <scheme val="minor"/>
    </font>
    <font>
      <sz val="11"/>
      <color theme="0" tint="-0.499984740745262"/>
      <name val="等线"/>
      <family val="3"/>
      <charset val="134"/>
      <scheme val="minor"/>
    </font>
    <font>
      <sz val="16"/>
      <color theme="1"/>
      <name val="等线"/>
      <family val="2"/>
      <charset val="134"/>
      <scheme val="minor"/>
    </font>
    <font>
      <sz val="16"/>
      <color theme="5" tint="-0.499984740745262"/>
      <name val="等线"/>
      <family val="3"/>
      <charset val="134"/>
      <scheme val="minor"/>
    </font>
    <font>
      <sz val="14"/>
      <color theme="5" tint="-0.499984740745262"/>
      <name val="等线"/>
      <family val="3"/>
      <charset val="134"/>
      <scheme val="minor"/>
    </font>
    <font>
      <sz val="16"/>
      <color theme="8" tint="-0.499984740745262"/>
      <name val="等线"/>
      <family val="3"/>
      <charset val="134"/>
      <scheme val="minor"/>
    </font>
    <font>
      <sz val="16"/>
      <color theme="9" tint="-0.499984740745262"/>
      <name val="等线"/>
      <family val="3"/>
      <charset val="134"/>
      <scheme val="minor"/>
    </font>
    <font>
      <sz val="14"/>
      <color theme="8" tint="-0.499984740745262"/>
      <name val="等线"/>
      <family val="3"/>
      <charset val="134"/>
      <scheme val="minor"/>
    </font>
    <font>
      <sz val="14"/>
      <color theme="9" tint="-0.499984740745262"/>
      <name val="等线"/>
      <family val="3"/>
      <charset val="134"/>
      <scheme val="minor"/>
    </font>
    <font>
      <sz val="16"/>
      <color theme="7" tint="-0.499984740745262"/>
      <name val="等线"/>
      <family val="3"/>
      <charset val="134"/>
      <scheme val="minor"/>
    </font>
    <font>
      <sz val="16"/>
      <color rgb="FF7030A0"/>
      <name val="等线"/>
      <family val="3"/>
      <charset val="134"/>
      <scheme val="minor"/>
    </font>
    <font>
      <sz val="16"/>
      <color rgb="FF159F98"/>
      <name val="等线"/>
      <family val="3"/>
      <charset val="134"/>
      <scheme val="minor"/>
    </font>
    <font>
      <sz val="14"/>
      <color theme="7" tint="-0.49998474074526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8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36"/>
      <color theme="1"/>
      <name val="等线"/>
      <family val="2"/>
      <charset val="134"/>
      <scheme val="minor"/>
    </font>
    <font>
      <sz val="14"/>
      <color rgb="FF7030A0"/>
      <name val="等线"/>
      <family val="3"/>
      <charset val="134"/>
      <scheme val="minor"/>
    </font>
    <font>
      <sz val="14"/>
      <color rgb="FF159F98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CC5ED"/>
        <bgColor indexed="64"/>
      </patternFill>
    </fill>
    <fill>
      <patternFill patternType="solid">
        <fgColor rgb="FFD1F9F7"/>
        <bgColor indexed="64"/>
      </pattern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>
        <stop position="0">
          <color theme="8" tint="0.80001220740379042"/>
        </stop>
        <stop position="0.5">
          <color theme="0"/>
        </stop>
        <stop position="1">
          <color theme="8" tint="0.80001220740379042"/>
        </stop>
      </gradientFill>
    </fill>
  </fills>
  <borders count="25">
    <border>
      <left/>
      <right/>
      <top/>
      <bottom/>
      <diagonal/>
    </border>
    <border>
      <left style="thin">
        <color theme="1"/>
      </left>
      <right style="thin">
        <color theme="0" tint="-0.24994659260841701"/>
      </right>
      <top style="thin">
        <color theme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theme="0" tint="-0.24994659260841701"/>
      </right>
      <top style="thin">
        <color theme="0" tint="-0.24994659260841701"/>
      </top>
      <bottom style="thin">
        <color theme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1"/>
      </bottom>
      <diagonal/>
    </border>
    <border>
      <left style="thin">
        <color theme="0" tint="-0.24994659260841701"/>
      </left>
      <right style="thin">
        <color theme="1"/>
      </right>
      <top style="thin">
        <color theme="0" tint="-0.2499465926084170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1"/>
      </left>
      <right style="thin">
        <color theme="0" tint="-0.24994659260841701"/>
      </right>
      <top/>
      <bottom/>
      <diagonal/>
    </border>
    <border>
      <left style="thin">
        <color theme="1"/>
      </left>
      <right style="thin">
        <color theme="0" tint="-0.24994659260841701"/>
      </right>
      <top/>
      <bottom style="thin">
        <color theme="1"/>
      </bottom>
      <diagonal/>
    </border>
    <border>
      <left style="thin">
        <color theme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>
      <alignment vertical="center"/>
    </xf>
  </cellStyleXfs>
  <cellXfs count="110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17" fillId="0" borderId="0" xfId="0" applyFont="1" applyBorder="1">
      <alignment vertical="center"/>
    </xf>
    <xf numFmtId="0" fontId="4" fillId="0" borderId="0" xfId="0" applyFont="1" applyBorder="1">
      <alignment vertical="center"/>
    </xf>
    <xf numFmtId="0" fontId="0" fillId="0" borderId="0" xfId="0" applyBorder="1">
      <alignment vertical="center"/>
    </xf>
    <xf numFmtId="58" fontId="18" fillId="0" borderId="0" xfId="0" applyNumberFormat="1" applyFont="1" applyAlignment="1">
      <alignment horizontal="center" vertical="center"/>
    </xf>
    <xf numFmtId="20" fontId="1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0" borderId="5" xfId="0" applyFont="1" applyBorder="1">
      <alignment vertical="center"/>
    </xf>
    <xf numFmtId="0" fontId="2" fillId="0" borderId="5" xfId="0" applyFont="1" applyBorder="1" applyAlignment="1">
      <alignment horizontal="right" vertical="center"/>
    </xf>
    <xf numFmtId="0" fontId="3" fillId="0" borderId="8" xfId="0" applyFont="1" applyBorder="1">
      <alignment vertical="center"/>
    </xf>
    <xf numFmtId="0" fontId="2" fillId="0" borderId="8" xfId="0" applyFont="1" applyBorder="1" applyAlignment="1">
      <alignment horizontal="right" vertical="center"/>
    </xf>
    <xf numFmtId="0" fontId="0" fillId="0" borderId="10" xfId="0" applyBorder="1">
      <alignment vertical="center"/>
    </xf>
    <xf numFmtId="0" fontId="4" fillId="0" borderId="10" xfId="0" applyFont="1" applyBorder="1">
      <alignment vertical="center"/>
    </xf>
    <xf numFmtId="0" fontId="2" fillId="0" borderId="2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12" fillId="0" borderId="5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14" fillId="0" borderId="5" xfId="0" applyFont="1" applyBorder="1" applyAlignment="1">
      <alignment vertical="center"/>
    </xf>
    <xf numFmtId="0" fontId="14" fillId="0" borderId="8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9" fontId="3" fillId="0" borderId="5" xfId="0" applyNumberFormat="1" applyFont="1" applyBorder="1" applyAlignment="1">
      <alignment vertical="center"/>
    </xf>
    <xf numFmtId="176" fontId="5" fillId="0" borderId="6" xfId="0" applyNumberFormat="1" applyFont="1" applyBorder="1" applyAlignment="1">
      <alignment vertical="center"/>
    </xf>
    <xf numFmtId="0" fontId="3" fillId="0" borderId="8" xfId="0" applyFont="1" applyBorder="1" applyAlignment="1">
      <alignment vertical="center"/>
    </xf>
    <xf numFmtId="9" fontId="3" fillId="0" borderId="8" xfId="0" applyNumberFormat="1" applyFont="1" applyBorder="1" applyAlignment="1">
      <alignment vertical="center"/>
    </xf>
    <xf numFmtId="176" fontId="5" fillId="0" borderId="9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Fill="1">
      <alignment vertical="center"/>
    </xf>
    <xf numFmtId="58" fontId="18" fillId="0" borderId="0" xfId="0" applyNumberFormat="1" applyFont="1" applyFill="1" applyAlignment="1">
      <alignment horizontal="center" vertical="center"/>
    </xf>
    <xf numFmtId="20" fontId="18" fillId="0" borderId="0" xfId="0" applyNumberFormat="1" applyFont="1" applyFill="1" applyAlignment="1">
      <alignment horizontal="center" vertical="center"/>
    </xf>
    <xf numFmtId="0" fontId="0" fillId="0" borderId="0" xfId="0" applyFill="1">
      <alignment vertical="center"/>
    </xf>
    <xf numFmtId="0" fontId="18" fillId="0" borderId="0" xfId="0" applyFont="1" applyFill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vertical="center"/>
    </xf>
    <xf numFmtId="0" fontId="3" fillId="0" borderId="0" xfId="0" applyFont="1" applyFill="1" applyBorder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9" fontId="3" fillId="0" borderId="0" xfId="0" applyNumberFormat="1" applyFont="1" applyFill="1" applyBorder="1" applyAlignment="1">
      <alignment vertical="center"/>
    </xf>
    <xf numFmtId="176" fontId="5" fillId="0" borderId="0" xfId="0" applyNumberFormat="1" applyFont="1" applyFill="1" applyBorder="1" applyAlignment="1">
      <alignment vertical="center"/>
    </xf>
    <xf numFmtId="0" fontId="2" fillId="0" borderId="11" xfId="0" applyFont="1" applyFill="1" applyBorder="1" applyAlignment="1">
      <alignment horizontal="center" vertical="center"/>
    </xf>
    <xf numFmtId="0" fontId="3" fillId="0" borderId="12" xfId="0" applyFont="1" applyFill="1" applyBorder="1">
      <alignment vertical="center"/>
    </xf>
    <xf numFmtId="0" fontId="2" fillId="0" borderId="12" xfId="0" applyFont="1" applyFill="1" applyBorder="1" applyAlignment="1">
      <alignment horizontal="right" vertical="center"/>
    </xf>
    <xf numFmtId="0" fontId="3" fillId="0" borderId="12" xfId="0" applyFont="1" applyFill="1" applyBorder="1" applyAlignment="1">
      <alignment vertical="center"/>
    </xf>
    <xf numFmtId="9" fontId="3" fillId="0" borderId="12" xfId="0" applyNumberFormat="1" applyFont="1" applyFill="1" applyBorder="1" applyAlignment="1">
      <alignment vertical="center"/>
    </xf>
    <xf numFmtId="176" fontId="5" fillId="0" borderId="13" xfId="0" applyNumberFormat="1" applyFont="1" applyFill="1" applyBorder="1" applyAlignment="1">
      <alignment vertical="center"/>
    </xf>
    <xf numFmtId="0" fontId="8" fillId="0" borderId="12" xfId="0" applyFont="1" applyFill="1" applyBorder="1" applyAlignment="1">
      <alignment vertical="center"/>
    </xf>
    <xf numFmtId="0" fontId="9" fillId="0" borderId="12" xfId="0" applyFont="1" applyFill="1" applyBorder="1" applyAlignment="1">
      <alignment vertical="center"/>
    </xf>
    <xf numFmtId="0" fontId="12" fillId="0" borderId="12" xfId="0" applyFont="1" applyFill="1" applyBorder="1" applyAlignment="1">
      <alignment vertical="center"/>
    </xf>
    <xf numFmtId="0" fontId="13" fillId="0" borderId="12" xfId="0" applyFont="1" applyFill="1" applyBorder="1" applyAlignment="1">
      <alignment vertical="center"/>
    </xf>
    <xf numFmtId="176" fontId="3" fillId="0" borderId="5" xfId="0" applyNumberFormat="1" applyFont="1" applyBorder="1" applyAlignment="1">
      <alignment vertical="center"/>
    </xf>
    <xf numFmtId="0" fontId="2" fillId="0" borderId="5" xfId="0" applyNumberFormat="1" applyFont="1" applyBorder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2" fillId="0" borderId="14" xfId="0" applyFont="1" applyFill="1" applyBorder="1" applyAlignment="1">
      <alignment vertical="center"/>
    </xf>
    <xf numFmtId="0" fontId="2" fillId="0" borderId="15" xfId="0" applyFont="1" applyFill="1" applyBorder="1" applyAlignment="1">
      <alignment vertical="center"/>
    </xf>
    <xf numFmtId="0" fontId="2" fillId="0" borderId="16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3" fillId="8" borderId="5" xfId="0" applyNumberFormat="1" applyFont="1" applyFill="1" applyBorder="1" applyAlignment="1">
      <alignment vertical="center"/>
    </xf>
    <xf numFmtId="0" fontId="22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0" fontId="3" fillId="0" borderId="15" xfId="0" applyFont="1" applyBorder="1">
      <alignment vertical="center"/>
    </xf>
    <xf numFmtId="0" fontId="2" fillId="0" borderId="15" xfId="0" applyFont="1" applyBorder="1" applyAlignment="1">
      <alignment horizontal="right" vertical="center"/>
    </xf>
    <xf numFmtId="0" fontId="3" fillId="0" borderId="15" xfId="0" applyFont="1" applyBorder="1" applyAlignment="1">
      <alignment vertical="center"/>
    </xf>
    <xf numFmtId="176" fontId="5" fillId="0" borderId="22" xfId="0" applyNumberFormat="1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3" fillId="9" borderId="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2" fillId="7" borderId="18" xfId="0" applyFont="1" applyFill="1" applyBorder="1" applyAlignment="1">
      <alignment horizontal="center" vertical="center"/>
    </xf>
    <xf numFmtId="0" fontId="2" fillId="7" borderId="19" xfId="0" applyFont="1" applyFill="1" applyBorder="1" applyAlignment="1">
      <alignment horizontal="center" vertical="center"/>
    </xf>
    <xf numFmtId="176" fontId="19" fillId="0" borderId="0" xfId="0" applyNumberFormat="1" applyFont="1" applyAlignment="1">
      <alignment horizontal="center" vertical="center"/>
    </xf>
    <xf numFmtId="0" fontId="19" fillId="0" borderId="0" xfId="0" applyNumberFormat="1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D1F9F7"/>
      <color rgb="FFDCC5ED"/>
      <color rgb="FF159F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9</xdr:row>
      <xdr:rowOff>19050</xdr:rowOff>
    </xdr:from>
    <xdr:to>
      <xdr:col>10</xdr:col>
      <xdr:colOff>723900</xdr:colOff>
      <xdr:row>10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79589693-267A-468F-8FB1-A74FAEEB61D4}"/>
            </a:ext>
          </a:extLst>
        </xdr:cNvPr>
        <xdr:cNvSpPr/>
      </xdr:nvSpPr>
      <xdr:spPr>
        <a:xfrm>
          <a:off x="14452600" y="2724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9</xdr:row>
      <xdr:rowOff>12700</xdr:rowOff>
    </xdr:from>
    <xdr:to>
      <xdr:col>12</xdr:col>
      <xdr:colOff>0</xdr:colOff>
      <xdr:row>9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FA1D0B4E-B631-4375-9D26-3DE53AFD268D}"/>
            </a:ext>
          </a:extLst>
        </xdr:cNvPr>
        <xdr:cNvSpPr/>
      </xdr:nvSpPr>
      <xdr:spPr>
        <a:xfrm>
          <a:off x="15157450" y="2717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12</xdr:col>
      <xdr:colOff>25400</xdr:colOff>
      <xdr:row>11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994055D2-6139-4501-85D2-D6BB71F57521}"/>
            </a:ext>
          </a:extLst>
        </xdr:cNvPr>
        <xdr:cNvSpPr/>
      </xdr:nvSpPr>
      <xdr:spPr>
        <a:xfrm>
          <a:off x="14427200" y="3086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11</xdr:row>
      <xdr:rowOff>209550</xdr:rowOff>
    </xdr:from>
    <xdr:to>
      <xdr:col>12</xdr:col>
      <xdr:colOff>577850</xdr:colOff>
      <xdr:row>22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C73A4F13-0DC4-4738-8AC8-4769C985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3295650"/>
          <a:ext cx="2946400" cy="2946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9</xdr:row>
      <xdr:rowOff>19050</xdr:rowOff>
    </xdr:from>
    <xdr:to>
      <xdr:col>10</xdr:col>
      <xdr:colOff>723900</xdr:colOff>
      <xdr:row>10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796C5819-842F-4CD7-81DB-893D2FCC27E9}"/>
            </a:ext>
          </a:extLst>
        </xdr:cNvPr>
        <xdr:cNvSpPr/>
      </xdr:nvSpPr>
      <xdr:spPr>
        <a:xfrm>
          <a:off x="14452600" y="2724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9</xdr:row>
      <xdr:rowOff>12700</xdr:rowOff>
    </xdr:from>
    <xdr:to>
      <xdr:col>12</xdr:col>
      <xdr:colOff>0</xdr:colOff>
      <xdr:row>9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31EAF344-14DC-41BA-B828-8A7567690384}"/>
            </a:ext>
          </a:extLst>
        </xdr:cNvPr>
        <xdr:cNvSpPr/>
      </xdr:nvSpPr>
      <xdr:spPr>
        <a:xfrm>
          <a:off x="15157450" y="2717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12</xdr:col>
      <xdr:colOff>25400</xdr:colOff>
      <xdr:row>11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88DC69B4-114A-4E53-84EC-76BD3924200F}"/>
            </a:ext>
          </a:extLst>
        </xdr:cNvPr>
        <xdr:cNvSpPr/>
      </xdr:nvSpPr>
      <xdr:spPr>
        <a:xfrm>
          <a:off x="14427200" y="3086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11</xdr:row>
      <xdr:rowOff>209550</xdr:rowOff>
    </xdr:from>
    <xdr:to>
      <xdr:col>12</xdr:col>
      <xdr:colOff>577850</xdr:colOff>
      <xdr:row>22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A427CC9B-F93B-47B3-A92B-CFD9BCAF9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3295650"/>
          <a:ext cx="2946400" cy="2946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9</xdr:row>
      <xdr:rowOff>19050</xdr:rowOff>
    </xdr:from>
    <xdr:to>
      <xdr:col>10</xdr:col>
      <xdr:colOff>723900</xdr:colOff>
      <xdr:row>10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A9B79914-5395-4C3E-A144-1007FBE99056}"/>
            </a:ext>
          </a:extLst>
        </xdr:cNvPr>
        <xdr:cNvSpPr/>
      </xdr:nvSpPr>
      <xdr:spPr>
        <a:xfrm>
          <a:off x="14452600" y="24066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9</xdr:row>
      <xdr:rowOff>12700</xdr:rowOff>
    </xdr:from>
    <xdr:to>
      <xdr:col>12</xdr:col>
      <xdr:colOff>0</xdr:colOff>
      <xdr:row>9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644A3AD3-72A3-415E-A86B-AB7CC73FA468}"/>
            </a:ext>
          </a:extLst>
        </xdr:cNvPr>
        <xdr:cNvSpPr/>
      </xdr:nvSpPr>
      <xdr:spPr>
        <a:xfrm>
          <a:off x="15157450" y="24003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12</xdr:col>
      <xdr:colOff>25400</xdr:colOff>
      <xdr:row>11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AE6EA65A-A41D-44C1-A179-9B3503A902BD}"/>
            </a:ext>
          </a:extLst>
        </xdr:cNvPr>
        <xdr:cNvSpPr/>
      </xdr:nvSpPr>
      <xdr:spPr>
        <a:xfrm>
          <a:off x="14427200" y="27686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11</xdr:row>
      <xdr:rowOff>209550</xdr:rowOff>
    </xdr:from>
    <xdr:to>
      <xdr:col>12</xdr:col>
      <xdr:colOff>577850</xdr:colOff>
      <xdr:row>22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3E2921C3-3EBD-484B-803C-E390C83A1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2978150"/>
          <a:ext cx="2946400" cy="294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8</xdr:row>
      <xdr:rowOff>19050</xdr:rowOff>
    </xdr:from>
    <xdr:to>
      <xdr:col>10</xdr:col>
      <xdr:colOff>723900</xdr:colOff>
      <xdr:row>9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50978032-3294-4108-A84B-E853626A889A}"/>
            </a:ext>
          </a:extLst>
        </xdr:cNvPr>
        <xdr:cNvSpPr/>
      </xdr:nvSpPr>
      <xdr:spPr>
        <a:xfrm>
          <a:off x="14452600" y="24066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8</xdr:row>
      <xdr:rowOff>12700</xdr:rowOff>
    </xdr:from>
    <xdr:to>
      <xdr:col>12</xdr:col>
      <xdr:colOff>0</xdr:colOff>
      <xdr:row>8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EADF5D01-DD44-4672-A59D-C422C345625F}"/>
            </a:ext>
          </a:extLst>
        </xdr:cNvPr>
        <xdr:cNvSpPr/>
      </xdr:nvSpPr>
      <xdr:spPr>
        <a:xfrm>
          <a:off x="15157450" y="24003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12</xdr:col>
      <xdr:colOff>25400</xdr:colOff>
      <xdr:row>10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F278D51B-E711-4E36-B67F-7C785853DDF4}"/>
            </a:ext>
          </a:extLst>
        </xdr:cNvPr>
        <xdr:cNvSpPr/>
      </xdr:nvSpPr>
      <xdr:spPr>
        <a:xfrm>
          <a:off x="14427200" y="27686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10</xdr:row>
      <xdr:rowOff>209550</xdr:rowOff>
    </xdr:from>
    <xdr:to>
      <xdr:col>12</xdr:col>
      <xdr:colOff>577850</xdr:colOff>
      <xdr:row>21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131F1A28-A137-4225-A9A4-005BB8F2C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2978150"/>
          <a:ext cx="2946400" cy="2946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8</xdr:row>
      <xdr:rowOff>19050</xdr:rowOff>
    </xdr:from>
    <xdr:to>
      <xdr:col>10</xdr:col>
      <xdr:colOff>723900</xdr:colOff>
      <xdr:row>9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F62E3281-92B7-4912-BF71-3FC83B8DA84E}"/>
            </a:ext>
          </a:extLst>
        </xdr:cNvPr>
        <xdr:cNvSpPr/>
      </xdr:nvSpPr>
      <xdr:spPr>
        <a:xfrm>
          <a:off x="14585950" y="2089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8</xdr:row>
      <xdr:rowOff>12700</xdr:rowOff>
    </xdr:from>
    <xdr:to>
      <xdr:col>12</xdr:col>
      <xdr:colOff>0</xdr:colOff>
      <xdr:row>8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CC6BDC03-E261-4EF7-82BA-5E711943BAA6}"/>
            </a:ext>
          </a:extLst>
        </xdr:cNvPr>
        <xdr:cNvSpPr/>
      </xdr:nvSpPr>
      <xdr:spPr>
        <a:xfrm>
          <a:off x="15290800" y="2082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12</xdr:col>
      <xdr:colOff>25400</xdr:colOff>
      <xdr:row>10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E15C90AC-A9D7-4092-96E6-004C8259512A}"/>
            </a:ext>
          </a:extLst>
        </xdr:cNvPr>
        <xdr:cNvSpPr/>
      </xdr:nvSpPr>
      <xdr:spPr>
        <a:xfrm>
          <a:off x="14560550" y="2451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10</xdr:row>
      <xdr:rowOff>209550</xdr:rowOff>
    </xdr:from>
    <xdr:to>
      <xdr:col>12</xdr:col>
      <xdr:colOff>577850</xdr:colOff>
      <xdr:row>21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02738800-5ABE-4E96-AF0B-8F9AB25D6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2660650"/>
          <a:ext cx="2946400" cy="2946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7</xdr:row>
      <xdr:rowOff>19050</xdr:rowOff>
    </xdr:from>
    <xdr:to>
      <xdr:col>10</xdr:col>
      <xdr:colOff>723900</xdr:colOff>
      <xdr:row>8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E8156FF2-533B-4D4E-BF4C-46F19E0C01E3}"/>
            </a:ext>
          </a:extLst>
        </xdr:cNvPr>
        <xdr:cNvSpPr/>
      </xdr:nvSpPr>
      <xdr:spPr>
        <a:xfrm>
          <a:off x="14585950" y="2089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7</xdr:row>
      <xdr:rowOff>12700</xdr:rowOff>
    </xdr:from>
    <xdr:to>
      <xdr:col>12</xdr:col>
      <xdr:colOff>0</xdr:colOff>
      <xdr:row>7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F804B03F-9BC6-4678-A63B-8D0C58728297}"/>
            </a:ext>
          </a:extLst>
        </xdr:cNvPr>
        <xdr:cNvSpPr/>
      </xdr:nvSpPr>
      <xdr:spPr>
        <a:xfrm>
          <a:off x="15290800" y="2082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12</xdr:col>
      <xdr:colOff>25400</xdr:colOff>
      <xdr:row>9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12FD0C97-CE17-468F-BF44-1B08F3FAAEB5}"/>
            </a:ext>
          </a:extLst>
        </xdr:cNvPr>
        <xdr:cNvSpPr/>
      </xdr:nvSpPr>
      <xdr:spPr>
        <a:xfrm>
          <a:off x="14560550" y="2451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9</xdr:row>
      <xdr:rowOff>209550</xdr:rowOff>
    </xdr:from>
    <xdr:to>
      <xdr:col>12</xdr:col>
      <xdr:colOff>444500</xdr:colOff>
      <xdr:row>20</xdr:row>
      <xdr:rowOff>171450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D9EF4F6F-5AAC-41CF-8791-F0F531AAE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19150" y="2660650"/>
          <a:ext cx="2946400" cy="2946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7</xdr:row>
      <xdr:rowOff>19050</xdr:rowOff>
    </xdr:from>
    <xdr:to>
      <xdr:col>10</xdr:col>
      <xdr:colOff>723900</xdr:colOff>
      <xdr:row>8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1FAD6EE5-9783-4887-A7E9-F4E6A97C9AA7}"/>
            </a:ext>
          </a:extLst>
        </xdr:cNvPr>
        <xdr:cNvSpPr/>
      </xdr:nvSpPr>
      <xdr:spPr>
        <a:xfrm>
          <a:off x="14458950" y="2089150"/>
          <a:ext cx="698500" cy="2984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7</xdr:row>
      <xdr:rowOff>12700</xdr:rowOff>
    </xdr:from>
    <xdr:to>
      <xdr:col>12</xdr:col>
      <xdr:colOff>0</xdr:colOff>
      <xdr:row>7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CA14E6F8-228A-4004-9734-D59947C39D9E}"/>
            </a:ext>
          </a:extLst>
        </xdr:cNvPr>
        <xdr:cNvSpPr/>
      </xdr:nvSpPr>
      <xdr:spPr>
        <a:xfrm>
          <a:off x="15163800" y="2082800"/>
          <a:ext cx="7302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12</xdr:col>
      <xdr:colOff>25400</xdr:colOff>
      <xdr:row>9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E6D202E9-A27B-49DB-B000-24E1180A3A29}"/>
            </a:ext>
          </a:extLst>
        </xdr:cNvPr>
        <xdr:cNvSpPr/>
      </xdr:nvSpPr>
      <xdr:spPr>
        <a:xfrm>
          <a:off x="14433550" y="2451100"/>
          <a:ext cx="14859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9</xdr:row>
      <xdr:rowOff>209550</xdr:rowOff>
    </xdr:from>
    <xdr:to>
      <xdr:col>12</xdr:col>
      <xdr:colOff>444500</xdr:colOff>
      <xdr:row>21</xdr:row>
      <xdr:rowOff>107950</xdr:rowOff>
    </xdr:to>
    <xdr:pic>
      <xdr:nvPicPr>
        <xdr:cNvPr id="5" name="图形 4" descr="图表纸、计算器、尺子、荧光笔和铅笔">
          <a:extLst>
            <a:ext uri="{FF2B5EF4-FFF2-40B4-BE49-F238E27FC236}">
              <a16:creationId xmlns:a16="http://schemas.microsoft.com/office/drawing/2014/main" id="{D68C455A-CF90-4042-8FE4-29CA94831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392150" y="2660650"/>
          <a:ext cx="2946400" cy="2946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7</xdr:row>
      <xdr:rowOff>19050</xdr:rowOff>
    </xdr:from>
    <xdr:to>
      <xdr:col>10</xdr:col>
      <xdr:colOff>723900</xdr:colOff>
      <xdr:row>8</xdr:row>
      <xdr:rowOff>0</xdr:rowOff>
    </xdr:to>
    <xdr:sp macro="[0]!_xludf.unhide" textlink="">
      <xdr:nvSpPr>
        <xdr:cNvPr id="2" name="矩形 1">
          <a:extLst>
            <a:ext uri="{FF2B5EF4-FFF2-40B4-BE49-F238E27FC236}">
              <a16:creationId xmlns:a16="http://schemas.microsoft.com/office/drawing/2014/main" id="{B2F2D484-1255-9228-556E-060028066BCE}"/>
            </a:ext>
          </a:extLst>
        </xdr:cNvPr>
        <xdr:cNvSpPr/>
      </xdr:nvSpPr>
      <xdr:spPr>
        <a:xfrm>
          <a:off x="13335000" y="1892300"/>
          <a:ext cx="6985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展开</a:t>
          </a:r>
        </a:p>
      </xdr:txBody>
    </xdr:sp>
    <xdr:clientData/>
  </xdr:twoCellAnchor>
  <xdr:twoCellAnchor>
    <xdr:from>
      <xdr:col>11</xdr:col>
      <xdr:colOff>0</xdr:colOff>
      <xdr:row>7</xdr:row>
      <xdr:rowOff>12700</xdr:rowOff>
    </xdr:from>
    <xdr:to>
      <xdr:col>12</xdr:col>
      <xdr:colOff>0</xdr:colOff>
      <xdr:row>7</xdr:row>
      <xdr:rowOff>298450</xdr:rowOff>
    </xdr:to>
    <xdr:sp macro="[0]!_xludf.hide" textlink="">
      <xdr:nvSpPr>
        <xdr:cNvPr id="3" name="矩形 2">
          <a:extLst>
            <a:ext uri="{FF2B5EF4-FFF2-40B4-BE49-F238E27FC236}">
              <a16:creationId xmlns:a16="http://schemas.microsoft.com/office/drawing/2014/main" id="{3C7205BB-97D8-4BB2-BD2F-DF1FA79A161E}"/>
            </a:ext>
          </a:extLst>
        </xdr:cNvPr>
        <xdr:cNvSpPr/>
      </xdr:nvSpPr>
      <xdr:spPr>
        <a:xfrm>
          <a:off x="14039850" y="1885950"/>
          <a:ext cx="66040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折叠</a:t>
          </a:r>
          <a:endParaRPr lang="en-US" altLang="zh-CN" sz="14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12</xdr:col>
      <xdr:colOff>25400</xdr:colOff>
      <xdr:row>9</xdr:row>
      <xdr:rowOff>285750</xdr:rowOff>
    </xdr:to>
    <xdr:sp macro="[0]!start" textlink="">
      <xdr:nvSpPr>
        <xdr:cNvPr id="4" name="矩形 3">
          <a:extLst>
            <a:ext uri="{FF2B5EF4-FFF2-40B4-BE49-F238E27FC236}">
              <a16:creationId xmlns:a16="http://schemas.microsoft.com/office/drawing/2014/main" id="{406BCA45-6D38-4F0D-B441-AC2E14BF1223}"/>
            </a:ext>
          </a:extLst>
        </xdr:cNvPr>
        <xdr:cNvSpPr/>
      </xdr:nvSpPr>
      <xdr:spPr>
        <a:xfrm>
          <a:off x="13309600" y="2178050"/>
          <a:ext cx="1416050" cy="285750"/>
        </a:xfrm>
        <a:prstGeom prst="rect">
          <a:avLst/>
        </a:prstGeom>
        <a:noFill/>
        <a:ln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>
              <a:solidFill>
                <a:schemeClr val="tx1"/>
              </a:solidFill>
            </a:rPr>
            <a:t>开启新的一天</a:t>
          </a:r>
        </a:p>
      </xdr:txBody>
    </xdr:sp>
    <xdr:clientData/>
  </xdr:twoCellAnchor>
  <xdr:twoCellAnchor editAs="oneCell">
    <xdr:from>
      <xdr:col>8</xdr:col>
      <xdr:colOff>704850</xdr:colOff>
      <xdr:row>9</xdr:row>
      <xdr:rowOff>209550</xdr:rowOff>
    </xdr:from>
    <xdr:to>
      <xdr:col>12</xdr:col>
      <xdr:colOff>444500</xdr:colOff>
      <xdr:row>21</xdr:row>
      <xdr:rowOff>107950</xdr:rowOff>
    </xdr:to>
    <xdr:pic>
      <xdr:nvPicPr>
        <xdr:cNvPr id="6" name="图形 5" descr="图表纸、计算器、尺子、荧光笔和铅笔">
          <a:extLst>
            <a:ext uri="{FF2B5EF4-FFF2-40B4-BE49-F238E27FC236}">
              <a16:creationId xmlns:a16="http://schemas.microsoft.com/office/drawing/2014/main" id="{69A29AD4-57EE-EADA-239C-0B760EC39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557250" y="2387600"/>
          <a:ext cx="2946400" cy="2946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B851A-1968-4388-A79C-A161DBA32BD0}">
  <sheetPr codeName="Sheet8">
    <pageSetUpPr fitToPage="1"/>
  </sheetPr>
  <dimension ref="A1:L29"/>
  <sheetViews>
    <sheetView tabSelected="1" zoomScaleNormal="100" workbookViewId="0">
      <selection activeCell="D7" sqref="D7"/>
    </sheetView>
  </sheetViews>
  <sheetFormatPr defaultRowHeight="14" x14ac:dyDescent="0.3"/>
  <cols>
    <col min="1" max="1" width="9.58203125" customWidth="1"/>
    <col min="2" max="2" width="27.6640625" customWidth="1"/>
    <col min="3" max="3" width="9.75" style="2" hidden="1" customWidth="1"/>
    <col min="4" max="4" width="9.58203125" customWidth="1"/>
    <col min="5" max="5" width="11.58203125" hidden="1" customWidth="1"/>
    <col min="6" max="6" width="11.1640625" style="2" hidden="1" customWidth="1"/>
    <col min="7" max="7" width="121.33203125" customWidth="1"/>
    <col min="8" max="8" width="9.58203125" style="2" hidden="1" customWidth="1"/>
    <col min="9" max="9" width="9.58203125" customWidth="1"/>
    <col min="10" max="10" width="11.58203125" customWidth="1"/>
    <col min="11" max="12" width="9.5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84" t="str">
        <f>ROUND(SUM(I3:I40),0)&amp;"+"</f>
        <v>224+</v>
      </c>
      <c r="L2" s="85"/>
    </row>
    <row r="3" spans="1:12" ht="25" customHeight="1" x14ac:dyDescent="0.3">
      <c r="A3" s="86" t="s">
        <v>7</v>
      </c>
      <c r="B3" s="18" t="s">
        <v>13</v>
      </c>
      <c r="C3" s="11">
        <v>0</v>
      </c>
      <c r="D3" s="12">
        <v>7.3</v>
      </c>
      <c r="E3" s="12">
        <v>7.3</v>
      </c>
      <c r="F3" s="29">
        <v>13</v>
      </c>
      <c r="G3" s="30">
        <f>(D3-C3)/(F3-C3)</f>
        <v>0.56153846153846154</v>
      </c>
      <c r="H3" s="29">
        <v>700</v>
      </c>
      <c r="I3" s="31">
        <f>((D3-E3)/F3)*H3</f>
        <v>0</v>
      </c>
      <c r="K3" s="85"/>
      <c r="L3" s="85"/>
    </row>
    <row r="4" spans="1:12" ht="25" customHeight="1" x14ac:dyDescent="0.3">
      <c r="A4" s="87"/>
      <c r="B4" s="18" t="s">
        <v>31</v>
      </c>
      <c r="C4" s="11">
        <v>0</v>
      </c>
      <c r="D4" s="60">
        <v>6.5</v>
      </c>
      <c r="E4" s="60">
        <v>6.5</v>
      </c>
      <c r="F4" s="59">
        <v>65</v>
      </c>
      <c r="G4" s="30">
        <f t="shared" ref="G4:G28" si="0">(D4-C4)/(F4-C4)</f>
        <v>0.1</v>
      </c>
      <c r="H4" s="29">
        <v>1800</v>
      </c>
      <c r="I4" s="31">
        <f t="shared" ref="I4:I28" si="1">((D4-E4)/F4)*H4</f>
        <v>0</v>
      </c>
    </row>
    <row r="5" spans="1:12" ht="25" customHeight="1" x14ac:dyDescent="0.3">
      <c r="A5" s="87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44752</v>
      </c>
      <c r="L5" s="7">
        <v>0.44791666666666669</v>
      </c>
    </row>
    <row r="6" spans="1:12" ht="25" customHeight="1" x14ac:dyDescent="0.3">
      <c r="A6" s="88"/>
      <c r="B6" s="18" t="s">
        <v>44</v>
      </c>
      <c r="C6" s="70">
        <v>5106</v>
      </c>
      <c r="D6" s="71">
        <v>8400</v>
      </c>
      <c r="E6" s="71">
        <v>8100</v>
      </c>
      <c r="F6" s="72">
        <v>13712</v>
      </c>
      <c r="G6" s="30">
        <f t="shared" si="0"/>
        <v>0.38275621659307457</v>
      </c>
      <c r="H6" s="72">
        <v>0</v>
      </c>
      <c r="I6" s="73"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customHeight="1" x14ac:dyDescent="0.3">
      <c r="A8" s="89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90"/>
      <c r="B9" s="19" t="s">
        <v>45</v>
      </c>
      <c r="C9" s="11"/>
      <c r="D9" s="12" t="s">
        <v>41</v>
      </c>
      <c r="E9" s="12" t="s">
        <v>41</v>
      </c>
      <c r="F9" s="29"/>
      <c r="G9" s="77"/>
      <c r="H9" s="29"/>
      <c r="I9" s="31">
        <v>0</v>
      </c>
    </row>
    <row r="10" spans="1:12" ht="25" customHeight="1" x14ac:dyDescent="0.3">
      <c r="A10" s="91"/>
      <c r="B10" s="19" t="s">
        <v>16</v>
      </c>
      <c r="C10" s="11">
        <v>0</v>
      </c>
      <c r="D10" s="12">
        <v>0</v>
      </c>
      <c r="E10" s="12">
        <v>0</v>
      </c>
      <c r="F10" s="29">
        <v>38</v>
      </c>
      <c r="G10" s="30">
        <f t="shared" si="0"/>
        <v>0</v>
      </c>
      <c r="H10" s="29">
        <v>6000</v>
      </c>
      <c r="I10" s="31">
        <f t="shared" si="1"/>
        <v>0</v>
      </c>
      <c r="J10" s="1" t="s">
        <v>30</v>
      </c>
      <c r="K10" s="9"/>
      <c r="L10" s="78"/>
    </row>
    <row r="11" spans="1:12" s="39" customFormat="1" ht="5" customHeight="1" x14ac:dyDescent="0.3">
      <c r="A11" s="49"/>
      <c r="B11" s="55"/>
      <c r="C11" s="50"/>
      <c r="D11" s="51"/>
      <c r="E11" s="51"/>
      <c r="F11" s="52"/>
      <c r="G11" s="53"/>
      <c r="H11" s="52"/>
      <c r="I11" s="54"/>
      <c r="J11" s="36"/>
      <c r="K11" s="40"/>
      <c r="L11" s="41"/>
    </row>
    <row r="12" spans="1:12" ht="25" customHeight="1" x14ac:dyDescent="0.3">
      <c r="A12" s="92" t="s">
        <v>9</v>
      </c>
      <c r="B12" s="20" t="s">
        <v>17</v>
      </c>
      <c r="C12" s="11">
        <v>0</v>
      </c>
      <c r="D12" s="12">
        <v>9</v>
      </c>
      <c r="E12" s="12">
        <v>9</v>
      </c>
      <c r="F12" s="29">
        <v>12</v>
      </c>
      <c r="G12" s="30">
        <f t="shared" si="0"/>
        <v>0.75</v>
      </c>
      <c r="H12" s="29">
        <v>400</v>
      </c>
      <c r="I12" s="31">
        <f t="shared" si="1"/>
        <v>0</v>
      </c>
      <c r="K12" s="95"/>
      <c r="L12" s="95"/>
    </row>
    <row r="13" spans="1:12" ht="25" customHeight="1" x14ac:dyDescent="0.3">
      <c r="A13" s="93"/>
      <c r="B13" s="20" t="s">
        <v>42</v>
      </c>
      <c r="C13" s="11">
        <v>0</v>
      </c>
      <c r="D13" s="12">
        <v>8</v>
      </c>
      <c r="E13" s="12">
        <v>8</v>
      </c>
      <c r="F13" s="29">
        <v>17</v>
      </c>
      <c r="G13" s="30">
        <f t="shared" si="0"/>
        <v>0.47058823529411764</v>
      </c>
      <c r="H13" s="29">
        <v>350</v>
      </c>
      <c r="I13" s="31">
        <f t="shared" si="1"/>
        <v>0</v>
      </c>
      <c r="K13" s="78"/>
      <c r="L13" s="78"/>
    </row>
    <row r="14" spans="1:12" ht="25" customHeight="1" x14ac:dyDescent="0.3">
      <c r="A14" s="93"/>
      <c r="B14" s="20" t="s">
        <v>39</v>
      </c>
      <c r="C14" s="11">
        <v>0</v>
      </c>
      <c r="D14" s="12" t="s">
        <v>41</v>
      </c>
      <c r="E14" s="12" t="s">
        <v>41</v>
      </c>
      <c r="F14" s="29"/>
      <c r="G14" s="67"/>
      <c r="H14" s="29"/>
      <c r="I14" s="31"/>
      <c r="K14" s="78"/>
      <c r="L14" s="78"/>
    </row>
    <row r="15" spans="1:12" ht="25" customHeight="1" x14ac:dyDescent="0.3">
      <c r="A15" s="93"/>
      <c r="B15" s="20" t="s">
        <v>46</v>
      </c>
      <c r="C15" s="11">
        <v>0</v>
      </c>
      <c r="D15" s="12">
        <v>80</v>
      </c>
      <c r="E15" s="12">
        <v>80</v>
      </c>
      <c r="F15" s="29">
        <v>495</v>
      </c>
      <c r="G15" s="30">
        <f t="shared" si="0"/>
        <v>0.16161616161616163</v>
      </c>
      <c r="H15" s="29">
        <v>1300</v>
      </c>
      <c r="I15" s="31">
        <f t="shared" si="1"/>
        <v>0</v>
      </c>
      <c r="K15" s="78"/>
      <c r="L15" s="78"/>
    </row>
    <row r="16" spans="1:12" ht="25" customHeight="1" x14ac:dyDescent="0.3">
      <c r="A16" s="93"/>
      <c r="B16" s="20" t="s">
        <v>43</v>
      </c>
      <c r="C16" s="11">
        <v>0</v>
      </c>
      <c r="D16" s="12">
        <v>1</v>
      </c>
      <c r="E16" s="12">
        <v>1</v>
      </c>
      <c r="F16" s="29">
        <v>38</v>
      </c>
      <c r="G16" s="30">
        <f t="shared" si="0"/>
        <v>2.6315789473684209E-2</v>
      </c>
      <c r="H16" s="29">
        <v>2800</v>
      </c>
      <c r="I16" s="31">
        <f t="shared" si="1"/>
        <v>0</v>
      </c>
      <c r="K16" s="78"/>
      <c r="L16" s="78"/>
    </row>
    <row r="17" spans="1:11" ht="25" customHeight="1" x14ac:dyDescent="0.3">
      <c r="A17" s="94"/>
      <c r="B17" s="20" t="s">
        <v>18</v>
      </c>
      <c r="C17" s="11">
        <v>0</v>
      </c>
      <c r="D17" s="12">
        <v>17</v>
      </c>
      <c r="E17" s="12">
        <v>17</v>
      </c>
      <c r="F17" s="29">
        <v>31</v>
      </c>
      <c r="G17" s="30">
        <f t="shared" si="0"/>
        <v>0.54838709677419351</v>
      </c>
      <c r="H17" s="29">
        <v>230</v>
      </c>
      <c r="I17" s="31">
        <f t="shared" si="1"/>
        <v>0</v>
      </c>
    </row>
    <row r="18" spans="1:11" s="39" customFormat="1" ht="5" customHeight="1" x14ac:dyDescent="0.3">
      <c r="A18" s="49"/>
      <c r="B18" s="56"/>
      <c r="C18" s="50"/>
      <c r="D18" s="51"/>
      <c r="E18" s="51"/>
      <c r="F18" s="52"/>
      <c r="G18" s="53"/>
      <c r="H18" s="52"/>
      <c r="I18" s="54"/>
    </row>
    <row r="19" spans="1:11" ht="25" customHeight="1" x14ac:dyDescent="0.3">
      <c r="A19" s="96" t="s">
        <v>19</v>
      </c>
      <c r="B19" s="21" t="s">
        <v>36</v>
      </c>
      <c r="C19" s="11">
        <v>0</v>
      </c>
      <c r="D19" s="12">
        <v>9</v>
      </c>
      <c r="E19" s="12">
        <v>8</v>
      </c>
      <c r="F19" s="29">
        <v>10</v>
      </c>
      <c r="G19" s="30">
        <f t="shared" si="0"/>
        <v>0.9</v>
      </c>
      <c r="H19" s="29">
        <v>550</v>
      </c>
      <c r="I19" s="31">
        <f t="shared" si="1"/>
        <v>55</v>
      </c>
    </row>
    <row r="20" spans="1:11" ht="25" customHeight="1" x14ac:dyDescent="0.3">
      <c r="A20" s="97"/>
      <c r="B20" s="21" t="s">
        <v>26</v>
      </c>
      <c r="C20" s="11">
        <v>91</v>
      </c>
      <c r="D20" s="12">
        <v>91</v>
      </c>
      <c r="E20" s="12">
        <v>91</v>
      </c>
      <c r="F20" s="29">
        <v>107</v>
      </c>
      <c r="G20" s="30">
        <f t="shared" si="0"/>
        <v>0</v>
      </c>
      <c r="H20" s="29">
        <v>500</v>
      </c>
      <c r="I20" s="31">
        <f t="shared" si="1"/>
        <v>0</v>
      </c>
    </row>
    <row r="21" spans="1:11" ht="25" customHeight="1" x14ac:dyDescent="0.3">
      <c r="A21" s="98"/>
      <c r="B21" s="21" t="s">
        <v>33</v>
      </c>
      <c r="C21" s="11">
        <v>0</v>
      </c>
      <c r="D21" s="12">
        <v>0</v>
      </c>
      <c r="E21" s="12">
        <v>0</v>
      </c>
      <c r="F21" s="29">
        <v>28</v>
      </c>
      <c r="G21" s="30">
        <f t="shared" si="0"/>
        <v>0</v>
      </c>
      <c r="H21" s="29">
        <v>2700</v>
      </c>
      <c r="I21" s="31">
        <f t="shared" si="1"/>
        <v>0</v>
      </c>
    </row>
    <row r="22" spans="1:11" s="39" customFormat="1" ht="5" customHeight="1" x14ac:dyDescent="0.3">
      <c r="A22" s="49"/>
      <c r="B22" s="57"/>
      <c r="C22" s="50"/>
      <c r="D22" s="51"/>
      <c r="E22" s="51"/>
      <c r="F22" s="52"/>
      <c r="G22" s="53"/>
      <c r="H22" s="52"/>
      <c r="I22" s="54"/>
    </row>
    <row r="23" spans="1:11" ht="25" customHeight="1" x14ac:dyDescent="0.3">
      <c r="A23" s="79" t="s">
        <v>22</v>
      </c>
      <c r="B23" s="22" t="s">
        <v>32</v>
      </c>
      <c r="C23" s="11">
        <v>0</v>
      </c>
      <c r="D23" s="12">
        <v>4.0999999999999996</v>
      </c>
      <c r="E23" s="12">
        <v>4.0999999999999996</v>
      </c>
      <c r="F23" s="29">
        <v>28</v>
      </c>
      <c r="G23" s="30">
        <f t="shared" si="0"/>
        <v>0.14642857142857141</v>
      </c>
      <c r="H23" s="29">
        <v>2500</v>
      </c>
      <c r="I23" s="31">
        <f t="shared" si="1"/>
        <v>0</v>
      </c>
    </row>
    <row r="24" spans="1:11" ht="25" customHeight="1" x14ac:dyDescent="0.3">
      <c r="A24" s="80"/>
      <c r="B24" s="22" t="s">
        <v>47</v>
      </c>
      <c r="C24" s="11">
        <v>0</v>
      </c>
      <c r="D24" s="12">
        <v>6</v>
      </c>
      <c r="E24" s="12">
        <v>4</v>
      </c>
      <c r="F24" s="29">
        <v>8</v>
      </c>
      <c r="G24" s="30">
        <f t="shared" si="0"/>
        <v>0.75</v>
      </c>
      <c r="H24" s="29">
        <v>450</v>
      </c>
      <c r="I24" s="31">
        <f t="shared" si="1"/>
        <v>112.5</v>
      </c>
    </row>
    <row r="25" spans="1:11" s="39" customFormat="1" ht="5" customHeight="1" x14ac:dyDescent="0.3">
      <c r="A25" s="49"/>
      <c r="B25" s="58"/>
      <c r="C25" s="50"/>
      <c r="D25" s="51"/>
      <c r="E25" s="51"/>
      <c r="F25" s="52"/>
      <c r="G25" s="53"/>
      <c r="H25" s="52"/>
      <c r="I25" s="54"/>
    </row>
    <row r="26" spans="1:11" ht="25" customHeight="1" x14ac:dyDescent="0.3">
      <c r="A26" s="81" t="s">
        <v>24</v>
      </c>
      <c r="B26" s="23" t="s">
        <v>34</v>
      </c>
      <c r="C26" s="11">
        <v>72</v>
      </c>
      <c r="D26" s="12">
        <v>72</v>
      </c>
      <c r="E26" s="12">
        <v>72</v>
      </c>
      <c r="F26" s="29">
        <v>103</v>
      </c>
      <c r="G26" s="30">
        <f t="shared" si="0"/>
        <v>0</v>
      </c>
      <c r="H26" s="29">
        <v>630</v>
      </c>
      <c r="I26" s="31">
        <f t="shared" si="1"/>
        <v>0</v>
      </c>
      <c r="K26" s="68"/>
    </row>
    <row r="27" spans="1:11" ht="25" customHeight="1" x14ac:dyDescent="0.3">
      <c r="A27" s="82"/>
      <c r="B27" s="23" t="s">
        <v>48</v>
      </c>
      <c r="C27" s="11">
        <v>0</v>
      </c>
      <c r="D27" s="12">
        <v>7</v>
      </c>
      <c r="E27" s="12">
        <v>6</v>
      </c>
      <c r="F27" s="29">
        <v>8</v>
      </c>
      <c r="G27" s="30">
        <f t="shared" si="0"/>
        <v>0.875</v>
      </c>
      <c r="H27" s="29">
        <v>450</v>
      </c>
      <c r="I27" s="31">
        <f t="shared" si="1"/>
        <v>56.25</v>
      </c>
    </row>
    <row r="28" spans="1:11" ht="25" customHeight="1" x14ac:dyDescent="0.3">
      <c r="A28" s="83"/>
      <c r="B28" s="24" t="s">
        <v>40</v>
      </c>
      <c r="C28" s="13">
        <v>0</v>
      </c>
      <c r="D28" s="14">
        <v>0</v>
      </c>
      <c r="E28" s="14">
        <v>0</v>
      </c>
      <c r="F28" s="32">
        <v>28</v>
      </c>
      <c r="G28" s="33">
        <f t="shared" si="0"/>
        <v>0</v>
      </c>
      <c r="H28" s="32">
        <v>2300</v>
      </c>
      <c r="I28" s="34">
        <f t="shared" si="1"/>
        <v>0</v>
      </c>
    </row>
    <row r="29" spans="1:11" s="39" customFormat="1" ht="5" customHeight="1" x14ac:dyDescent="0.3">
      <c r="A29" s="42"/>
      <c r="B29" s="43"/>
      <c r="C29" s="44"/>
      <c r="D29" s="45"/>
      <c r="E29" s="45"/>
      <c r="F29" s="46"/>
      <c r="G29" s="47"/>
      <c r="H29" s="46"/>
      <c r="I29" s="48"/>
    </row>
  </sheetData>
  <mergeCells count="8">
    <mergeCell ref="A23:A24"/>
    <mergeCell ref="A26:A28"/>
    <mergeCell ref="K2:L3"/>
    <mergeCell ref="A3:A6"/>
    <mergeCell ref="A8:A10"/>
    <mergeCell ref="A12:A17"/>
    <mergeCell ref="K12:L12"/>
    <mergeCell ref="A19:A21"/>
  </mergeCells>
  <phoneticPr fontId="1" type="noConversion"/>
  <conditionalFormatting sqref="G3:G6 G8:G29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{0A791A29-096F-47F7-ADDD-7195E2748F1F}</x14:id>
        </ext>
      </extLst>
    </cfRule>
  </conditionalFormatting>
  <conditionalFormatting sqref="G19:G22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{33A5C7F1-950A-4680-9CC3-AA0DF5A6C06D}</x14:id>
        </ext>
      </extLst>
    </cfRule>
  </conditionalFormatting>
  <conditionalFormatting sqref="G23:G25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{B16C5E1D-EE58-4547-97AC-8CF5C0A477C6}</x14:id>
        </ext>
      </extLst>
    </cfRule>
  </conditionalFormatting>
  <conditionalFormatting sqref="G26:G29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{1BDBE74F-8861-4DB7-95DB-030414EF2C1E}</x14:id>
        </ext>
      </extLst>
    </cfRule>
  </conditionalFormatting>
  <conditionalFormatting sqref="G8:G10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{542486CF-47A2-4AD9-A146-E6DCA60A70EA}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{B668F44A-0F11-4E42-B805-4B6F5A0FE4B5}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{3F93C9FB-E3B2-4389-BB04-D46CDDD5FE1C}</x14:id>
        </ext>
      </extLst>
    </cfRule>
  </conditionalFormatting>
  <conditionalFormatting sqref="G12:G17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{1EA90244-97F6-4341-B513-48D02C495AEA}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791A29-096F-47F7-ADDD-7195E2748F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G8:G29</xm:sqref>
        </x14:conditionalFormatting>
        <x14:conditionalFormatting xmlns:xm="http://schemas.microsoft.com/office/excel/2006/main">
          <x14:cfRule type="dataBar" id="{33A5C7F1-950A-4680-9CC3-AA0DF5A6C0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G19:G22</xm:sqref>
        </x14:conditionalFormatting>
        <x14:conditionalFormatting xmlns:xm="http://schemas.microsoft.com/office/excel/2006/main">
          <x14:cfRule type="dataBar" id="{B16C5E1D-EE58-4547-97AC-8CF5C0A477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G23:G25</xm:sqref>
        </x14:conditionalFormatting>
        <x14:conditionalFormatting xmlns:xm="http://schemas.microsoft.com/office/excel/2006/main">
          <x14:cfRule type="dataBar" id="{1BDBE74F-8861-4DB7-95DB-030414EF2C1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G26:G29</xm:sqref>
        </x14:conditionalFormatting>
        <x14:conditionalFormatting xmlns:xm="http://schemas.microsoft.com/office/excel/2006/main">
          <x14:cfRule type="dataBar" id="{542486CF-47A2-4AD9-A146-E6DCA60A70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B668F44A-0F11-4E42-B805-4B6F5A0FE4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F93C9FB-E3B2-4389-BB04-D46CDDD5FE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G8:G10</xm:sqref>
        </x14:conditionalFormatting>
        <x14:conditionalFormatting xmlns:xm="http://schemas.microsoft.com/office/excel/2006/main">
          <x14:cfRule type="dataBar" id="{1EA90244-97F6-4341-B513-48D02C495A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G12:G17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BEC12-6749-4B36-86D4-0671B6DF7A02}">
  <sheetPr codeName="Sheet7">
    <pageSetUpPr fitToPage="1"/>
  </sheetPr>
  <dimension ref="A1:L29"/>
  <sheetViews>
    <sheetView zoomScaleNormal="100" workbookViewId="0">
      <selection activeCell="L6" sqref="L6"/>
    </sheetView>
  </sheetViews>
  <sheetFormatPr defaultRowHeight="14" x14ac:dyDescent="0.3"/>
  <cols>
    <col min="1" max="1" width="9.58203125" customWidth="1"/>
    <col min="2" max="2" width="27.6640625" customWidth="1"/>
    <col min="3" max="3" width="9.75" style="2" hidden="1" customWidth="1"/>
    <col min="4" max="4" width="9.58203125" customWidth="1"/>
    <col min="5" max="5" width="11.58203125" hidden="1" customWidth="1"/>
    <col min="6" max="6" width="11.1640625" style="2" hidden="1" customWidth="1"/>
    <col min="7" max="7" width="121.33203125" customWidth="1"/>
    <col min="8" max="8" width="9.58203125" style="2" hidden="1" customWidth="1"/>
    <col min="9" max="9" width="9.58203125" customWidth="1"/>
    <col min="10" max="10" width="11.58203125" customWidth="1"/>
    <col min="11" max="12" width="9.5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84" t="str">
        <f>ROUND(SUM(I3:I40),0)&amp;"+"</f>
        <v>369+</v>
      </c>
      <c r="L2" s="85"/>
    </row>
    <row r="3" spans="1:12" ht="25" customHeight="1" x14ac:dyDescent="0.3">
      <c r="A3" s="86" t="s">
        <v>7</v>
      </c>
      <c r="B3" s="18" t="s">
        <v>13</v>
      </c>
      <c r="C3" s="11">
        <v>0</v>
      </c>
      <c r="D3" s="12">
        <v>7.3</v>
      </c>
      <c r="E3" s="12">
        <v>5.7</v>
      </c>
      <c r="F3" s="29">
        <v>13</v>
      </c>
      <c r="G3" s="30">
        <f>(D3-C3)/(F3-C3)</f>
        <v>0.56153846153846154</v>
      </c>
      <c r="H3" s="29">
        <v>700</v>
      </c>
      <c r="I3" s="31">
        <f>((D3-E3)/F3)*H3-35</f>
        <v>51.153846153846146</v>
      </c>
      <c r="K3" s="85"/>
      <c r="L3" s="85"/>
    </row>
    <row r="4" spans="1:12" ht="25" customHeight="1" x14ac:dyDescent="0.3">
      <c r="A4" s="87"/>
      <c r="B4" s="18" t="s">
        <v>31</v>
      </c>
      <c r="C4" s="11">
        <v>0</v>
      </c>
      <c r="D4" s="60">
        <v>6.5</v>
      </c>
      <c r="E4" s="60">
        <v>6.5</v>
      </c>
      <c r="F4" s="59">
        <v>65</v>
      </c>
      <c r="G4" s="30">
        <f t="shared" ref="G4:G28" si="0">(D4-C4)/(F4-C4)</f>
        <v>0.1</v>
      </c>
      <c r="H4" s="29">
        <v>1800</v>
      </c>
      <c r="I4" s="31">
        <f t="shared" ref="I4:I28" si="1">((D4-E4)/F4)*H4</f>
        <v>0</v>
      </c>
    </row>
    <row r="5" spans="1:12" ht="25" customHeight="1" x14ac:dyDescent="0.3">
      <c r="A5" s="87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44751</v>
      </c>
      <c r="L5" s="7">
        <v>0.88402777777777775</v>
      </c>
    </row>
    <row r="6" spans="1:12" ht="25" customHeight="1" x14ac:dyDescent="0.3">
      <c r="A6" s="88"/>
      <c r="B6" s="18" t="s">
        <v>44</v>
      </c>
      <c r="C6" s="70">
        <v>5106</v>
      </c>
      <c r="D6" s="71">
        <v>8100</v>
      </c>
      <c r="E6" s="71">
        <v>7100</v>
      </c>
      <c r="F6" s="72">
        <v>13712</v>
      </c>
      <c r="G6" s="30">
        <f t="shared" si="0"/>
        <v>0.34789681617476181</v>
      </c>
      <c r="H6" s="72">
        <v>0</v>
      </c>
      <c r="I6" s="73"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customHeight="1" x14ac:dyDescent="0.3">
      <c r="A8" s="89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90"/>
      <c r="B9" s="19" t="s">
        <v>45</v>
      </c>
      <c r="C9" s="11"/>
      <c r="D9" s="12" t="s">
        <v>41</v>
      </c>
      <c r="E9" s="12" t="s">
        <v>41</v>
      </c>
      <c r="F9" s="29"/>
      <c r="G9" s="77"/>
      <c r="H9" s="29"/>
      <c r="I9" s="31">
        <v>150</v>
      </c>
    </row>
    <row r="10" spans="1:12" ht="25" customHeight="1" x14ac:dyDescent="0.3">
      <c r="A10" s="91"/>
      <c r="B10" s="19" t="s">
        <v>16</v>
      </c>
      <c r="C10" s="11">
        <v>0</v>
      </c>
      <c r="D10" s="12">
        <v>0</v>
      </c>
      <c r="E10" s="12">
        <v>0</v>
      </c>
      <c r="F10" s="29">
        <v>38</v>
      </c>
      <c r="G10" s="30">
        <f t="shared" si="0"/>
        <v>0</v>
      </c>
      <c r="H10" s="29">
        <v>6000</v>
      </c>
      <c r="I10" s="31">
        <f t="shared" si="1"/>
        <v>0</v>
      </c>
      <c r="J10" s="1" t="s">
        <v>30</v>
      </c>
      <c r="K10" s="9"/>
      <c r="L10" s="76"/>
    </row>
    <row r="11" spans="1:12" s="39" customFormat="1" ht="5" customHeight="1" x14ac:dyDescent="0.3">
      <c r="A11" s="49"/>
      <c r="B11" s="55"/>
      <c r="C11" s="50"/>
      <c r="D11" s="51"/>
      <c r="E11" s="51"/>
      <c r="F11" s="52"/>
      <c r="G11" s="53"/>
      <c r="H11" s="52"/>
      <c r="I11" s="54"/>
      <c r="J11" s="36"/>
      <c r="K11" s="40"/>
      <c r="L11" s="41"/>
    </row>
    <row r="12" spans="1:12" ht="25" customHeight="1" x14ac:dyDescent="0.3">
      <c r="A12" s="92" t="s">
        <v>9</v>
      </c>
      <c r="B12" s="20" t="s">
        <v>17</v>
      </c>
      <c r="C12" s="11">
        <v>0</v>
      </c>
      <c r="D12" s="12">
        <v>9</v>
      </c>
      <c r="E12" s="12">
        <v>8</v>
      </c>
      <c r="F12" s="29">
        <v>12</v>
      </c>
      <c r="G12" s="30">
        <f t="shared" si="0"/>
        <v>0.75</v>
      </c>
      <c r="H12" s="29">
        <v>400</v>
      </c>
      <c r="I12" s="31">
        <f t="shared" si="1"/>
        <v>33.333333333333329</v>
      </c>
      <c r="K12" s="95"/>
      <c r="L12" s="95"/>
    </row>
    <row r="13" spans="1:12" ht="25" customHeight="1" x14ac:dyDescent="0.3">
      <c r="A13" s="93"/>
      <c r="B13" s="20" t="s">
        <v>42</v>
      </c>
      <c r="C13" s="11">
        <v>0</v>
      </c>
      <c r="D13" s="12">
        <v>8</v>
      </c>
      <c r="E13" s="12">
        <v>6</v>
      </c>
      <c r="F13" s="29">
        <v>17</v>
      </c>
      <c r="G13" s="30">
        <f t="shared" si="0"/>
        <v>0.47058823529411764</v>
      </c>
      <c r="H13" s="29">
        <v>350</v>
      </c>
      <c r="I13" s="31">
        <f t="shared" si="1"/>
        <v>41.176470588235297</v>
      </c>
      <c r="K13" s="76"/>
      <c r="L13" s="76"/>
    </row>
    <row r="14" spans="1:12" ht="25" customHeight="1" x14ac:dyDescent="0.3">
      <c r="A14" s="93"/>
      <c r="B14" s="20" t="s">
        <v>39</v>
      </c>
      <c r="C14" s="11">
        <v>0</v>
      </c>
      <c r="D14" s="12" t="s">
        <v>41</v>
      </c>
      <c r="E14" s="12" t="s">
        <v>41</v>
      </c>
      <c r="F14" s="29"/>
      <c r="G14" s="67"/>
      <c r="H14" s="29"/>
      <c r="I14" s="31"/>
      <c r="K14" s="76"/>
      <c r="L14" s="76"/>
    </row>
    <row r="15" spans="1:12" ht="25" customHeight="1" x14ac:dyDescent="0.3">
      <c r="A15" s="93"/>
      <c r="B15" s="20" t="s">
        <v>46</v>
      </c>
      <c r="C15" s="11">
        <v>0</v>
      </c>
      <c r="D15" s="12">
        <v>80</v>
      </c>
      <c r="E15" s="12">
        <v>70</v>
      </c>
      <c r="F15" s="29">
        <v>495</v>
      </c>
      <c r="G15" s="30">
        <f t="shared" si="0"/>
        <v>0.16161616161616163</v>
      </c>
      <c r="H15" s="29">
        <v>1300</v>
      </c>
      <c r="I15" s="31">
        <f t="shared" si="1"/>
        <v>26.262626262626267</v>
      </c>
      <c r="K15" s="76"/>
      <c r="L15" s="76"/>
    </row>
    <row r="16" spans="1:12" ht="25" customHeight="1" x14ac:dyDescent="0.3">
      <c r="A16" s="93"/>
      <c r="B16" s="20" t="s">
        <v>43</v>
      </c>
      <c r="C16" s="11">
        <v>0</v>
      </c>
      <c r="D16" s="12">
        <v>1</v>
      </c>
      <c r="E16" s="12">
        <v>1</v>
      </c>
      <c r="F16" s="29">
        <v>38</v>
      </c>
      <c r="G16" s="30">
        <f t="shared" si="0"/>
        <v>2.6315789473684209E-2</v>
      </c>
      <c r="H16" s="29">
        <v>2800</v>
      </c>
      <c r="I16" s="31">
        <f t="shared" si="1"/>
        <v>0</v>
      </c>
      <c r="K16" s="76"/>
      <c r="L16" s="76"/>
    </row>
    <row r="17" spans="1:11" ht="25" customHeight="1" x14ac:dyDescent="0.3">
      <c r="A17" s="94"/>
      <c r="B17" s="20" t="s">
        <v>18</v>
      </c>
      <c r="C17" s="11">
        <v>0</v>
      </c>
      <c r="D17" s="12">
        <v>17</v>
      </c>
      <c r="E17" s="12">
        <v>17</v>
      </c>
      <c r="F17" s="29">
        <v>31</v>
      </c>
      <c r="G17" s="30">
        <f t="shared" si="0"/>
        <v>0.54838709677419351</v>
      </c>
      <c r="H17" s="29">
        <v>230</v>
      </c>
      <c r="I17" s="31">
        <f t="shared" si="1"/>
        <v>0</v>
      </c>
    </row>
    <row r="18" spans="1:11" s="39" customFormat="1" ht="5" customHeight="1" x14ac:dyDescent="0.3">
      <c r="A18" s="49"/>
      <c r="B18" s="56"/>
      <c r="C18" s="50"/>
      <c r="D18" s="51"/>
      <c r="E18" s="51"/>
      <c r="F18" s="52"/>
      <c r="G18" s="53"/>
      <c r="H18" s="52"/>
      <c r="I18" s="54"/>
    </row>
    <row r="19" spans="1:11" ht="25" customHeight="1" x14ac:dyDescent="0.3">
      <c r="A19" s="96" t="s">
        <v>19</v>
      </c>
      <c r="B19" s="21" t="s">
        <v>36</v>
      </c>
      <c r="C19" s="11">
        <v>0</v>
      </c>
      <c r="D19" s="12">
        <v>8</v>
      </c>
      <c r="E19" s="12">
        <v>8</v>
      </c>
      <c r="F19" s="29">
        <v>10</v>
      </c>
      <c r="G19" s="30">
        <f t="shared" si="0"/>
        <v>0.8</v>
      </c>
      <c r="H19" s="29">
        <v>550</v>
      </c>
      <c r="I19" s="31">
        <f t="shared" si="1"/>
        <v>0</v>
      </c>
    </row>
    <row r="20" spans="1:11" ht="25" customHeight="1" x14ac:dyDescent="0.3">
      <c r="A20" s="97"/>
      <c r="B20" s="21" t="s">
        <v>26</v>
      </c>
      <c r="C20" s="11">
        <v>91</v>
      </c>
      <c r="D20" s="12">
        <v>91</v>
      </c>
      <c r="E20" s="12">
        <v>91</v>
      </c>
      <c r="F20" s="29">
        <v>107</v>
      </c>
      <c r="G20" s="30">
        <f t="shared" si="0"/>
        <v>0</v>
      </c>
      <c r="H20" s="29">
        <v>500</v>
      </c>
      <c r="I20" s="31">
        <f t="shared" si="1"/>
        <v>0</v>
      </c>
    </row>
    <row r="21" spans="1:11" ht="25" customHeight="1" x14ac:dyDescent="0.3">
      <c r="A21" s="98"/>
      <c r="B21" s="21" t="s">
        <v>33</v>
      </c>
      <c r="C21" s="11">
        <v>0</v>
      </c>
      <c r="D21" s="12">
        <v>0</v>
      </c>
      <c r="E21" s="12">
        <v>0</v>
      </c>
      <c r="F21" s="29">
        <v>28</v>
      </c>
      <c r="G21" s="30">
        <f t="shared" si="0"/>
        <v>0</v>
      </c>
      <c r="H21" s="29">
        <v>2700</v>
      </c>
      <c r="I21" s="31">
        <f t="shared" si="1"/>
        <v>0</v>
      </c>
    </row>
    <row r="22" spans="1:11" s="39" customFormat="1" ht="5" customHeight="1" x14ac:dyDescent="0.3">
      <c r="A22" s="49"/>
      <c r="B22" s="57"/>
      <c r="C22" s="50"/>
      <c r="D22" s="51"/>
      <c r="E22" s="51"/>
      <c r="F22" s="52"/>
      <c r="G22" s="53"/>
      <c r="H22" s="52"/>
      <c r="I22" s="54"/>
    </row>
    <row r="23" spans="1:11" ht="25" customHeight="1" x14ac:dyDescent="0.3">
      <c r="A23" s="79" t="s">
        <v>22</v>
      </c>
      <c r="B23" s="22" t="s">
        <v>32</v>
      </c>
      <c r="C23" s="11">
        <v>0</v>
      </c>
      <c r="D23" s="12">
        <v>4.0999999999999996</v>
      </c>
      <c r="E23" s="12">
        <v>4.0999999999999996</v>
      </c>
      <c r="F23" s="29">
        <v>28</v>
      </c>
      <c r="G23" s="30">
        <f t="shared" si="0"/>
        <v>0.14642857142857141</v>
      </c>
      <c r="H23" s="29">
        <v>2500</v>
      </c>
      <c r="I23" s="31">
        <f t="shared" si="1"/>
        <v>0</v>
      </c>
    </row>
    <row r="24" spans="1:11" ht="25" customHeight="1" x14ac:dyDescent="0.3">
      <c r="A24" s="80"/>
      <c r="B24" s="22" t="s">
        <v>37</v>
      </c>
      <c r="C24" s="11">
        <v>0</v>
      </c>
      <c r="D24" s="12">
        <v>4</v>
      </c>
      <c r="E24" s="12">
        <v>3.5</v>
      </c>
      <c r="F24" s="29">
        <v>10</v>
      </c>
      <c r="G24" s="30">
        <f t="shared" si="0"/>
        <v>0.4</v>
      </c>
      <c r="H24" s="29">
        <v>450</v>
      </c>
      <c r="I24" s="31">
        <f t="shared" si="1"/>
        <v>22.5</v>
      </c>
    </row>
    <row r="25" spans="1:11" s="39" customFormat="1" ht="5" customHeight="1" x14ac:dyDescent="0.3">
      <c r="A25" s="49"/>
      <c r="B25" s="58"/>
      <c r="C25" s="50"/>
      <c r="D25" s="51"/>
      <c r="E25" s="51"/>
      <c r="F25" s="52"/>
      <c r="G25" s="53"/>
      <c r="H25" s="52"/>
      <c r="I25" s="54"/>
    </row>
    <row r="26" spans="1:11" ht="25" customHeight="1" x14ac:dyDescent="0.3">
      <c r="A26" s="81" t="s">
        <v>24</v>
      </c>
      <c r="B26" s="23" t="s">
        <v>34</v>
      </c>
      <c r="C26" s="11">
        <v>72</v>
      </c>
      <c r="D26" s="12">
        <v>72</v>
      </c>
      <c r="E26" s="12">
        <v>72</v>
      </c>
      <c r="F26" s="29">
        <v>103</v>
      </c>
      <c r="G26" s="30">
        <f t="shared" si="0"/>
        <v>0</v>
      </c>
      <c r="H26" s="29">
        <v>630</v>
      </c>
      <c r="I26" s="31">
        <f t="shared" si="1"/>
        <v>0</v>
      </c>
      <c r="K26" s="68"/>
    </row>
    <row r="27" spans="1:11" ht="25" customHeight="1" x14ac:dyDescent="0.3">
      <c r="A27" s="82"/>
      <c r="B27" s="23" t="s">
        <v>38</v>
      </c>
      <c r="C27" s="11">
        <v>0</v>
      </c>
      <c r="D27" s="12">
        <v>6</v>
      </c>
      <c r="E27" s="12">
        <v>5</v>
      </c>
      <c r="F27" s="29">
        <v>10</v>
      </c>
      <c r="G27" s="30">
        <f t="shared" si="0"/>
        <v>0.6</v>
      </c>
      <c r="H27" s="29">
        <v>450</v>
      </c>
      <c r="I27" s="31">
        <f t="shared" si="1"/>
        <v>45</v>
      </c>
    </row>
    <row r="28" spans="1:11" ht="25" customHeight="1" x14ac:dyDescent="0.3">
      <c r="A28" s="83"/>
      <c r="B28" s="24" t="s">
        <v>40</v>
      </c>
      <c r="C28" s="13">
        <v>0</v>
      </c>
      <c r="D28" s="14">
        <v>0</v>
      </c>
      <c r="E28" s="14">
        <v>0</v>
      </c>
      <c r="F28" s="32">
        <v>28</v>
      </c>
      <c r="G28" s="33">
        <f t="shared" si="0"/>
        <v>0</v>
      </c>
      <c r="H28" s="32">
        <v>2300</v>
      </c>
      <c r="I28" s="34">
        <f t="shared" si="1"/>
        <v>0</v>
      </c>
    </row>
    <row r="29" spans="1:11" s="39" customFormat="1" ht="5" customHeight="1" x14ac:dyDescent="0.3">
      <c r="A29" s="42"/>
      <c r="B29" s="43"/>
      <c r="C29" s="44"/>
      <c r="D29" s="45"/>
      <c r="E29" s="45"/>
      <c r="F29" s="46"/>
      <c r="G29" s="47"/>
      <c r="H29" s="46"/>
      <c r="I29" s="48"/>
    </row>
  </sheetData>
  <mergeCells count="8">
    <mergeCell ref="A23:A24"/>
    <mergeCell ref="A26:A28"/>
    <mergeCell ref="K2:L3"/>
    <mergeCell ref="A3:A6"/>
    <mergeCell ref="A8:A10"/>
    <mergeCell ref="A12:A17"/>
    <mergeCell ref="K12:L12"/>
    <mergeCell ref="A19:A21"/>
  </mergeCells>
  <phoneticPr fontId="1" type="noConversion"/>
  <conditionalFormatting sqref="G3:G6 G8:G29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{42C81A84-38E3-4E6A-874D-64022DBEB6FE}</x14:id>
        </ext>
      </extLst>
    </cfRule>
  </conditionalFormatting>
  <conditionalFormatting sqref="G19:G22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{2BC5C784-97A6-40DC-B1DE-B2099783455F}</x14:id>
        </ext>
      </extLst>
    </cfRule>
  </conditionalFormatting>
  <conditionalFormatting sqref="G23:G25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{8E748C77-2CE9-40B5-85BC-8CDB70FD8AA8}</x14:id>
        </ext>
      </extLst>
    </cfRule>
  </conditionalFormatting>
  <conditionalFormatting sqref="G26:G29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{78BB96F8-1CE6-42D4-BF77-B1CA4155AF21}</x14:id>
        </ext>
      </extLst>
    </cfRule>
  </conditionalFormatting>
  <conditionalFormatting sqref="G8:G10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{CE764CA9-9C43-446A-9A31-F6B835C89F7B}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{4176FBDD-16D3-4A06-A2A4-796AA55D9486}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{DEC441D0-76AD-428C-BA8B-50B0161D9724}</x14:id>
        </ext>
      </extLst>
    </cfRule>
  </conditionalFormatting>
  <conditionalFormatting sqref="G12:G17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{257A830E-C675-4391-B9D1-4CE0BEB60F8B}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C81A84-38E3-4E6A-874D-64022DBEB6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G3:G6 G8:G29</xm:sqref>
        </x14:conditionalFormatting>
        <x14:conditionalFormatting xmlns:xm="http://schemas.microsoft.com/office/excel/2006/main">
          <x14:cfRule type="dataBar" id="{2BC5C784-97A6-40DC-B1DE-B209978345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G19:G22</xm:sqref>
        </x14:conditionalFormatting>
        <x14:conditionalFormatting xmlns:xm="http://schemas.microsoft.com/office/excel/2006/main">
          <x14:cfRule type="dataBar" id="{8E748C77-2CE9-40B5-85BC-8CDB70FD8A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G23:G25</xm:sqref>
        </x14:conditionalFormatting>
        <x14:conditionalFormatting xmlns:xm="http://schemas.microsoft.com/office/excel/2006/main">
          <x14:cfRule type="dataBar" id="{78BB96F8-1CE6-42D4-BF77-B1CA4155AF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G26:G29</xm:sqref>
        </x14:conditionalFormatting>
        <x14:conditionalFormatting xmlns:xm="http://schemas.microsoft.com/office/excel/2006/main">
          <x14:cfRule type="dataBar" id="{CE764CA9-9C43-446A-9A31-F6B835C89F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4176FBDD-16D3-4A06-A2A4-796AA55D94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EC441D0-76AD-428C-BA8B-50B0161D97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G8:G10</xm:sqref>
        </x14:conditionalFormatting>
        <x14:conditionalFormatting xmlns:xm="http://schemas.microsoft.com/office/excel/2006/main">
          <x14:cfRule type="dataBar" id="{257A830E-C675-4391-B9D1-4CE0BEB60F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G12:G17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13E6E-1F5A-456E-8CB1-C6D122C481E8}">
  <sheetPr codeName="Sheet6">
    <pageSetUpPr fitToPage="1"/>
  </sheetPr>
  <dimension ref="A1:L28"/>
  <sheetViews>
    <sheetView zoomScaleNormal="100" workbookViewId="0">
      <selection activeCell="G22" sqref="G22"/>
    </sheetView>
  </sheetViews>
  <sheetFormatPr defaultRowHeight="14" x14ac:dyDescent="0.3"/>
  <cols>
    <col min="1" max="1" width="9.58203125" customWidth="1"/>
    <col min="2" max="2" width="27.6640625" customWidth="1"/>
    <col min="3" max="3" width="9.75" style="2" hidden="1" customWidth="1"/>
    <col min="4" max="4" width="9.58203125" customWidth="1"/>
    <col min="5" max="5" width="11.58203125" hidden="1" customWidth="1"/>
    <col min="6" max="6" width="11.1640625" style="2" hidden="1" customWidth="1"/>
    <col min="7" max="7" width="121.33203125" customWidth="1"/>
    <col min="8" max="8" width="9.58203125" style="2" hidden="1" customWidth="1"/>
    <col min="9" max="9" width="9.58203125" customWidth="1"/>
    <col min="10" max="10" width="11.58203125" customWidth="1"/>
    <col min="11" max="12" width="9.5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84" t="str">
        <f>ROUND(SUM(I3:I39),0)&amp;"+"</f>
        <v>475+</v>
      </c>
      <c r="L2" s="85"/>
    </row>
    <row r="3" spans="1:12" ht="25" customHeight="1" x14ac:dyDescent="0.3">
      <c r="A3" s="86" t="s">
        <v>7</v>
      </c>
      <c r="B3" s="18" t="s">
        <v>13</v>
      </c>
      <c r="C3" s="11">
        <v>0</v>
      </c>
      <c r="D3" s="12">
        <v>5.7</v>
      </c>
      <c r="E3" s="12">
        <v>4</v>
      </c>
      <c r="F3" s="29">
        <v>13</v>
      </c>
      <c r="G3" s="30">
        <f>(D3-C3)/(F3-C3)</f>
        <v>0.43846153846153846</v>
      </c>
      <c r="H3" s="29">
        <v>700</v>
      </c>
      <c r="I3" s="31">
        <f>((D3-E3)/F3)*H3</f>
        <v>91.538461538461547</v>
      </c>
      <c r="K3" s="85"/>
      <c r="L3" s="85"/>
    </row>
    <row r="4" spans="1:12" ht="25" customHeight="1" x14ac:dyDescent="0.3">
      <c r="A4" s="87"/>
      <c r="B4" s="18" t="s">
        <v>31</v>
      </c>
      <c r="C4" s="11">
        <v>0</v>
      </c>
      <c r="D4" s="60">
        <v>6.5</v>
      </c>
      <c r="E4" s="60">
        <v>6</v>
      </c>
      <c r="F4" s="59">
        <v>65</v>
      </c>
      <c r="G4" s="30">
        <f t="shared" ref="G4:G27" si="0">(D4-C4)/(F4-C4)</f>
        <v>0.1</v>
      </c>
      <c r="H4" s="29">
        <v>1800</v>
      </c>
      <c r="I4" s="31">
        <f t="shared" ref="I4:I27" si="1">((D4-E4)/F4)*H4</f>
        <v>13.846153846153847</v>
      </c>
    </row>
    <row r="5" spans="1:12" ht="25" customHeight="1" x14ac:dyDescent="0.3">
      <c r="A5" s="87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44750</v>
      </c>
      <c r="L5" s="7">
        <v>0.87986111111111109</v>
      </c>
    </row>
    <row r="6" spans="1:12" ht="25" customHeight="1" x14ac:dyDescent="0.3">
      <c r="A6" s="88"/>
      <c r="B6" s="18" t="s">
        <v>44</v>
      </c>
      <c r="C6" s="70">
        <v>5106</v>
      </c>
      <c r="D6" s="71">
        <v>7100</v>
      </c>
      <c r="E6" s="71">
        <v>7100</v>
      </c>
      <c r="F6" s="72">
        <v>13712</v>
      </c>
      <c r="G6" s="30">
        <f t="shared" si="0"/>
        <v>0.23169881478038579</v>
      </c>
      <c r="H6" s="72">
        <v>0</v>
      </c>
      <c r="I6" s="73"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customHeight="1" x14ac:dyDescent="0.3">
      <c r="A8" s="89" t="s">
        <v>8</v>
      </c>
      <c r="B8" s="19" t="s">
        <v>15</v>
      </c>
      <c r="C8" s="11">
        <v>0</v>
      </c>
      <c r="D8" s="12">
        <v>8</v>
      </c>
      <c r="E8" s="12">
        <v>8</v>
      </c>
      <c r="F8" s="29">
        <v>8</v>
      </c>
      <c r="G8" s="30">
        <f t="shared" si="0"/>
        <v>1</v>
      </c>
      <c r="H8" s="29">
        <v>500</v>
      </c>
      <c r="I8" s="31">
        <f t="shared" si="1"/>
        <v>0</v>
      </c>
    </row>
    <row r="9" spans="1:12" ht="25" customHeight="1" x14ac:dyDescent="0.3">
      <c r="A9" s="90"/>
      <c r="B9" s="19" t="s">
        <v>45</v>
      </c>
      <c r="C9" s="11"/>
      <c r="D9" s="12" t="s">
        <v>41</v>
      </c>
      <c r="E9" s="12"/>
      <c r="F9" s="29"/>
      <c r="G9" s="77"/>
      <c r="H9" s="29"/>
      <c r="I9" s="31">
        <v>150</v>
      </c>
    </row>
    <row r="10" spans="1:12" ht="25" customHeight="1" x14ac:dyDescent="0.3">
      <c r="A10" s="91"/>
      <c r="B10" s="19" t="s">
        <v>16</v>
      </c>
      <c r="C10" s="11">
        <v>0</v>
      </c>
      <c r="D10" s="12">
        <v>0</v>
      </c>
      <c r="E10" s="12">
        <v>0</v>
      </c>
      <c r="F10" s="29">
        <v>38</v>
      </c>
      <c r="G10" s="30">
        <f t="shared" si="0"/>
        <v>0</v>
      </c>
      <c r="H10" s="29">
        <v>6000</v>
      </c>
      <c r="I10" s="31">
        <f t="shared" si="1"/>
        <v>0</v>
      </c>
      <c r="J10" s="1" t="s">
        <v>30</v>
      </c>
      <c r="K10" s="9"/>
      <c r="L10" s="75"/>
    </row>
    <row r="11" spans="1:12" s="39" customFormat="1" ht="5" customHeight="1" x14ac:dyDescent="0.3">
      <c r="A11" s="49"/>
      <c r="B11" s="55"/>
      <c r="C11" s="50"/>
      <c r="D11" s="51"/>
      <c r="E11" s="51"/>
      <c r="F11" s="52"/>
      <c r="G11" s="53"/>
      <c r="H11" s="52"/>
      <c r="I11" s="54"/>
      <c r="J11" s="36"/>
      <c r="K11" s="40"/>
      <c r="L11" s="41"/>
    </row>
    <row r="12" spans="1:12" ht="25" customHeight="1" x14ac:dyDescent="0.3">
      <c r="A12" s="92" t="s">
        <v>9</v>
      </c>
      <c r="B12" s="20" t="s">
        <v>17</v>
      </c>
      <c r="C12" s="11">
        <v>0</v>
      </c>
      <c r="D12" s="12">
        <v>8</v>
      </c>
      <c r="E12" s="12">
        <v>7</v>
      </c>
      <c r="F12" s="29">
        <v>12</v>
      </c>
      <c r="G12" s="30">
        <f t="shared" si="0"/>
        <v>0.66666666666666663</v>
      </c>
      <c r="H12" s="29">
        <v>400</v>
      </c>
      <c r="I12" s="31">
        <f t="shared" si="1"/>
        <v>33.333333333333329</v>
      </c>
      <c r="K12" s="95"/>
      <c r="L12" s="95"/>
    </row>
    <row r="13" spans="1:12" ht="25" customHeight="1" x14ac:dyDescent="0.3">
      <c r="A13" s="93"/>
      <c r="B13" s="20" t="s">
        <v>42</v>
      </c>
      <c r="C13" s="11">
        <v>0</v>
      </c>
      <c r="D13" s="12">
        <v>6</v>
      </c>
      <c r="E13" s="12">
        <v>4</v>
      </c>
      <c r="F13" s="29">
        <v>17</v>
      </c>
      <c r="G13" s="30">
        <f t="shared" si="0"/>
        <v>0.35294117647058826</v>
      </c>
      <c r="H13" s="29">
        <v>350</v>
      </c>
      <c r="I13" s="31">
        <f t="shared" si="1"/>
        <v>41.176470588235297</v>
      </c>
      <c r="K13" s="75"/>
      <c r="L13" s="75"/>
    </row>
    <row r="14" spans="1:12" ht="25" customHeight="1" x14ac:dyDescent="0.3">
      <c r="A14" s="93"/>
      <c r="B14" s="20" t="s">
        <v>39</v>
      </c>
      <c r="C14" s="11">
        <v>0</v>
      </c>
      <c r="D14" s="12" t="s">
        <v>41</v>
      </c>
      <c r="E14" s="12" t="s">
        <v>41</v>
      </c>
      <c r="F14" s="29"/>
      <c r="G14" s="67"/>
      <c r="H14" s="29"/>
      <c r="I14" s="31"/>
      <c r="K14" s="75"/>
      <c r="L14" s="75"/>
    </row>
    <row r="15" spans="1:12" ht="25" customHeight="1" x14ac:dyDescent="0.3">
      <c r="A15" s="93"/>
      <c r="B15" s="20" t="s">
        <v>43</v>
      </c>
      <c r="C15" s="11">
        <v>0</v>
      </c>
      <c r="D15" s="12">
        <v>1</v>
      </c>
      <c r="E15" s="12">
        <v>1</v>
      </c>
      <c r="F15" s="29">
        <v>38</v>
      </c>
      <c r="G15" s="30">
        <f t="shared" si="0"/>
        <v>2.6315789473684209E-2</v>
      </c>
      <c r="H15" s="29">
        <v>2800</v>
      </c>
      <c r="I15" s="31">
        <f t="shared" si="1"/>
        <v>0</v>
      </c>
      <c r="K15" s="75"/>
      <c r="L15" s="75"/>
    </row>
    <row r="16" spans="1:12" ht="25" customHeight="1" x14ac:dyDescent="0.3">
      <c r="A16" s="94"/>
      <c r="B16" s="20" t="s">
        <v>18</v>
      </c>
      <c r="C16" s="11">
        <v>0</v>
      </c>
      <c r="D16" s="12">
        <v>17</v>
      </c>
      <c r="E16" s="12">
        <v>14</v>
      </c>
      <c r="F16" s="29">
        <v>31</v>
      </c>
      <c r="G16" s="30">
        <f t="shared" si="0"/>
        <v>0.54838709677419351</v>
      </c>
      <c r="H16" s="29">
        <v>230</v>
      </c>
      <c r="I16" s="31">
        <f t="shared" si="1"/>
        <v>22.258064516129032</v>
      </c>
    </row>
    <row r="17" spans="1:11" s="39" customFormat="1" ht="5" customHeight="1" x14ac:dyDescent="0.3">
      <c r="A17" s="49"/>
      <c r="B17" s="56"/>
      <c r="C17" s="50"/>
      <c r="D17" s="51"/>
      <c r="E17" s="51"/>
      <c r="F17" s="52"/>
      <c r="G17" s="53"/>
      <c r="H17" s="52"/>
      <c r="I17" s="54"/>
    </row>
    <row r="18" spans="1:11" ht="25" customHeight="1" x14ac:dyDescent="0.3">
      <c r="A18" s="96" t="s">
        <v>19</v>
      </c>
      <c r="B18" s="21" t="s">
        <v>36</v>
      </c>
      <c r="C18" s="11">
        <v>0</v>
      </c>
      <c r="D18" s="12">
        <v>8</v>
      </c>
      <c r="E18" s="12">
        <v>7</v>
      </c>
      <c r="F18" s="29">
        <v>10</v>
      </c>
      <c r="G18" s="30">
        <f t="shared" si="0"/>
        <v>0.8</v>
      </c>
      <c r="H18" s="29">
        <v>550</v>
      </c>
      <c r="I18" s="31">
        <f t="shared" si="1"/>
        <v>55</v>
      </c>
    </row>
    <row r="19" spans="1:11" ht="25" customHeight="1" x14ac:dyDescent="0.3">
      <c r="A19" s="97"/>
      <c r="B19" s="21" t="s">
        <v>26</v>
      </c>
      <c r="C19" s="11">
        <v>91</v>
      </c>
      <c r="D19" s="12">
        <v>91</v>
      </c>
      <c r="E19" s="12">
        <v>91</v>
      </c>
      <c r="F19" s="29">
        <v>107</v>
      </c>
      <c r="G19" s="30">
        <f t="shared" si="0"/>
        <v>0</v>
      </c>
      <c r="H19" s="29">
        <v>500</v>
      </c>
      <c r="I19" s="31">
        <f t="shared" si="1"/>
        <v>0</v>
      </c>
    </row>
    <row r="20" spans="1:11" ht="25" customHeight="1" x14ac:dyDescent="0.3">
      <c r="A20" s="98"/>
      <c r="B20" s="21" t="s">
        <v>33</v>
      </c>
      <c r="C20" s="11">
        <v>0</v>
      </c>
      <c r="D20" s="12">
        <v>0</v>
      </c>
      <c r="E20" s="12">
        <v>0</v>
      </c>
      <c r="F20" s="29">
        <v>28</v>
      </c>
      <c r="G20" s="30">
        <f t="shared" si="0"/>
        <v>0</v>
      </c>
      <c r="H20" s="29">
        <v>2700</v>
      </c>
      <c r="I20" s="31">
        <f t="shared" si="1"/>
        <v>0</v>
      </c>
    </row>
    <row r="21" spans="1:11" s="39" customFormat="1" ht="5" customHeight="1" x14ac:dyDescent="0.3">
      <c r="A21" s="49"/>
      <c r="B21" s="57"/>
      <c r="C21" s="50"/>
      <c r="D21" s="51"/>
      <c r="E21" s="51"/>
      <c r="F21" s="52"/>
      <c r="G21" s="53"/>
      <c r="H21" s="52"/>
      <c r="I21" s="54"/>
    </row>
    <row r="22" spans="1:11" ht="25" customHeight="1" x14ac:dyDescent="0.3">
      <c r="A22" s="79" t="s">
        <v>22</v>
      </c>
      <c r="B22" s="22" t="s">
        <v>32</v>
      </c>
      <c r="C22" s="11">
        <v>0</v>
      </c>
      <c r="D22" s="12">
        <v>4.0999999999999996</v>
      </c>
      <c r="E22" s="12">
        <v>4.0999999999999996</v>
      </c>
      <c r="F22" s="29">
        <v>28</v>
      </c>
      <c r="G22" s="30">
        <f t="shared" si="0"/>
        <v>0.14642857142857141</v>
      </c>
      <c r="H22" s="29">
        <v>2500</v>
      </c>
      <c r="I22" s="31">
        <f t="shared" si="1"/>
        <v>0</v>
      </c>
    </row>
    <row r="23" spans="1:11" ht="25" customHeight="1" x14ac:dyDescent="0.3">
      <c r="A23" s="80"/>
      <c r="B23" s="22" t="s">
        <v>37</v>
      </c>
      <c r="C23" s="11">
        <v>0</v>
      </c>
      <c r="D23" s="12">
        <v>3.5</v>
      </c>
      <c r="E23" s="12">
        <v>3</v>
      </c>
      <c r="F23" s="29">
        <v>10</v>
      </c>
      <c r="G23" s="30">
        <f t="shared" si="0"/>
        <v>0.35</v>
      </c>
      <c r="H23" s="29">
        <v>450</v>
      </c>
      <c r="I23" s="31">
        <f t="shared" si="1"/>
        <v>22.5</v>
      </c>
    </row>
    <row r="24" spans="1:11" s="39" customFormat="1" ht="5" customHeight="1" x14ac:dyDescent="0.3">
      <c r="A24" s="49"/>
      <c r="B24" s="58"/>
      <c r="C24" s="50"/>
      <c r="D24" s="51"/>
      <c r="E24" s="51"/>
      <c r="F24" s="52"/>
      <c r="G24" s="53"/>
      <c r="H24" s="52"/>
      <c r="I24" s="54"/>
    </row>
    <row r="25" spans="1:11" ht="25" customHeight="1" x14ac:dyDescent="0.3">
      <c r="A25" s="81" t="s">
        <v>24</v>
      </c>
      <c r="B25" s="23" t="s">
        <v>34</v>
      </c>
      <c r="C25" s="11">
        <v>72</v>
      </c>
      <c r="D25" s="12">
        <v>72</v>
      </c>
      <c r="E25" s="12">
        <v>72</v>
      </c>
      <c r="F25" s="29">
        <v>103</v>
      </c>
      <c r="G25" s="30">
        <f t="shared" si="0"/>
        <v>0</v>
      </c>
      <c r="H25" s="29">
        <v>630</v>
      </c>
      <c r="I25" s="31">
        <f t="shared" si="1"/>
        <v>0</v>
      </c>
      <c r="K25" s="68"/>
    </row>
    <row r="26" spans="1:11" ht="25" customHeight="1" x14ac:dyDescent="0.3">
      <c r="A26" s="82"/>
      <c r="B26" s="23" t="s">
        <v>38</v>
      </c>
      <c r="C26" s="11">
        <v>0</v>
      </c>
      <c r="D26" s="12">
        <v>5</v>
      </c>
      <c r="E26" s="12">
        <v>4</v>
      </c>
      <c r="F26" s="29">
        <v>10</v>
      </c>
      <c r="G26" s="30">
        <f t="shared" si="0"/>
        <v>0.5</v>
      </c>
      <c r="H26" s="29">
        <v>450</v>
      </c>
      <c r="I26" s="31">
        <f t="shared" si="1"/>
        <v>45</v>
      </c>
    </row>
    <row r="27" spans="1:11" ht="25" customHeight="1" x14ac:dyDescent="0.3">
      <c r="A27" s="83"/>
      <c r="B27" s="24" t="s">
        <v>40</v>
      </c>
      <c r="C27" s="13">
        <v>0</v>
      </c>
      <c r="D27" s="14">
        <v>0</v>
      </c>
      <c r="E27" s="14">
        <v>0</v>
      </c>
      <c r="F27" s="32">
        <v>28</v>
      </c>
      <c r="G27" s="33">
        <f t="shared" si="0"/>
        <v>0</v>
      </c>
      <c r="H27" s="32">
        <v>2300</v>
      </c>
      <c r="I27" s="34">
        <f t="shared" si="1"/>
        <v>0</v>
      </c>
    </row>
    <row r="28" spans="1:11" s="39" customFormat="1" ht="5" customHeight="1" x14ac:dyDescent="0.3">
      <c r="A28" s="42"/>
      <c r="B28" s="43"/>
      <c r="C28" s="44"/>
      <c r="D28" s="45"/>
      <c r="E28" s="45"/>
      <c r="F28" s="46"/>
      <c r="G28" s="47"/>
      <c r="H28" s="46"/>
      <c r="I28" s="48"/>
    </row>
  </sheetData>
  <mergeCells count="8">
    <mergeCell ref="A22:A23"/>
    <mergeCell ref="A25:A27"/>
    <mergeCell ref="K2:L3"/>
    <mergeCell ref="A3:A6"/>
    <mergeCell ref="A8:A10"/>
    <mergeCell ref="A12:A16"/>
    <mergeCell ref="K12:L12"/>
    <mergeCell ref="A18:A20"/>
  </mergeCells>
  <phoneticPr fontId="1" type="noConversion"/>
  <conditionalFormatting sqref="G8:G28 G3:G6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{084BCACF-0904-4DEE-A5C3-F737A7189807}</x14:id>
        </ext>
      </extLst>
    </cfRule>
  </conditionalFormatting>
  <conditionalFormatting sqref="G18:G21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{BD621FFA-471D-40E5-AA07-3551F0CF953F}</x14:id>
        </ext>
      </extLst>
    </cfRule>
  </conditionalFormatting>
  <conditionalFormatting sqref="G22:G24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{5EA7BA2F-D7F4-4BCE-BA06-87E119265899}</x14:id>
        </ext>
      </extLst>
    </cfRule>
  </conditionalFormatting>
  <conditionalFormatting sqref="G25:G28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{022BB9E4-2CF7-456A-96E7-682AC2D365B1}</x14:id>
        </ext>
      </extLst>
    </cfRule>
  </conditionalFormatting>
  <conditionalFormatting sqref="G8:G10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{160BA154-1CCD-443E-B64C-AA1CB9BB12A6}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{45032453-1D45-484D-A1E6-F94A28041D44}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{065E081E-4C77-4A88-826D-6F14001D92DB}</x14:id>
        </ext>
      </extLst>
    </cfRule>
  </conditionalFormatting>
  <conditionalFormatting sqref="G12:G16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{680E6D1D-B143-410D-96F7-08DDCD53CE88}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4BCACF-0904-4DEE-A5C3-F737A718980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G8:G28 G3:G6</xm:sqref>
        </x14:conditionalFormatting>
        <x14:conditionalFormatting xmlns:xm="http://schemas.microsoft.com/office/excel/2006/main">
          <x14:cfRule type="dataBar" id="{BD621FFA-471D-40E5-AA07-3551F0CF95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G18:G21</xm:sqref>
        </x14:conditionalFormatting>
        <x14:conditionalFormatting xmlns:xm="http://schemas.microsoft.com/office/excel/2006/main">
          <x14:cfRule type="dataBar" id="{5EA7BA2F-D7F4-4BCE-BA06-87E119265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G22:G24</xm:sqref>
        </x14:conditionalFormatting>
        <x14:conditionalFormatting xmlns:xm="http://schemas.microsoft.com/office/excel/2006/main">
          <x14:cfRule type="dataBar" id="{022BB9E4-2CF7-456A-96E7-682AC2D365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G25:G28</xm:sqref>
        </x14:conditionalFormatting>
        <x14:conditionalFormatting xmlns:xm="http://schemas.microsoft.com/office/excel/2006/main">
          <x14:cfRule type="dataBar" id="{160BA154-1CCD-443E-B64C-AA1CB9BB12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45032453-1D45-484D-A1E6-F94A28041D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65E081E-4C77-4A88-826D-6F14001D92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G8:G10</xm:sqref>
        </x14:conditionalFormatting>
        <x14:conditionalFormatting xmlns:xm="http://schemas.microsoft.com/office/excel/2006/main">
          <x14:cfRule type="dataBar" id="{680E6D1D-B143-410D-96F7-08DDCD53CE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G12:G16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10D27-522F-4F5D-88FA-3B0F43F90ABA}">
  <sheetPr codeName="Sheet5">
    <pageSetUpPr fitToPage="1"/>
  </sheetPr>
  <dimension ref="A1:L27"/>
  <sheetViews>
    <sheetView zoomScaleNormal="100" workbookViewId="0">
      <selection activeCell="B1" sqref="B1:B1048576"/>
    </sheetView>
  </sheetViews>
  <sheetFormatPr defaultRowHeight="14" x14ac:dyDescent="0.3"/>
  <cols>
    <col min="1" max="1" width="9.58203125" customWidth="1"/>
    <col min="2" max="2" width="27.6640625" customWidth="1"/>
    <col min="3" max="3" width="9.75" style="2" hidden="1" customWidth="1"/>
    <col min="4" max="4" width="9.58203125" customWidth="1"/>
    <col min="5" max="5" width="11.58203125" hidden="1" customWidth="1"/>
    <col min="6" max="6" width="11.1640625" style="2" hidden="1" customWidth="1"/>
    <col min="7" max="7" width="121.33203125" customWidth="1"/>
    <col min="8" max="8" width="9.58203125" style="2" hidden="1" customWidth="1"/>
    <col min="9" max="9" width="9.58203125" customWidth="1"/>
    <col min="10" max="10" width="11.58203125" customWidth="1"/>
    <col min="11" max="12" width="9.5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84" t="str">
        <f>ROUND(SUM(I3:I38),0)&amp;"+"</f>
        <v>454+</v>
      </c>
      <c r="L2" s="85"/>
    </row>
    <row r="3" spans="1:12" ht="25" customHeight="1" x14ac:dyDescent="0.3">
      <c r="A3" s="86" t="s">
        <v>7</v>
      </c>
      <c r="B3" s="18" t="s">
        <v>13</v>
      </c>
      <c r="C3" s="11">
        <v>0</v>
      </c>
      <c r="D3" s="12">
        <v>4</v>
      </c>
      <c r="E3" s="12">
        <v>3</v>
      </c>
      <c r="F3" s="29">
        <v>13</v>
      </c>
      <c r="G3" s="30">
        <f>(D3-C3)/(F3-C3)</f>
        <v>0.30769230769230771</v>
      </c>
      <c r="H3" s="29">
        <v>700</v>
      </c>
      <c r="I3" s="31">
        <f>((D3-E3)/F3)*H3</f>
        <v>53.846153846153847</v>
      </c>
      <c r="K3" s="85"/>
      <c r="L3" s="85"/>
    </row>
    <row r="4" spans="1:12" ht="25" customHeight="1" x14ac:dyDescent="0.3">
      <c r="A4" s="87"/>
      <c r="B4" s="18" t="s">
        <v>31</v>
      </c>
      <c r="C4" s="11">
        <v>0</v>
      </c>
      <c r="D4" s="60">
        <v>6</v>
      </c>
      <c r="E4" s="60">
        <v>5</v>
      </c>
      <c r="F4" s="59">
        <v>65</v>
      </c>
      <c r="G4" s="30">
        <f t="shared" ref="G4:G26" si="0">(D4-C4)/(F4-C4)</f>
        <v>9.2307692307692313E-2</v>
      </c>
      <c r="H4" s="29">
        <v>1800</v>
      </c>
      <c r="I4" s="31">
        <f t="shared" ref="I4:I26" si="1">((D4-E4)/F4)*H4</f>
        <v>27.692307692307693</v>
      </c>
    </row>
    <row r="5" spans="1:12" ht="25" customHeight="1" x14ac:dyDescent="0.3">
      <c r="A5" s="87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44749</v>
      </c>
      <c r="L5" s="7">
        <v>0.8979166666666667</v>
      </c>
    </row>
    <row r="6" spans="1:12" ht="25" customHeight="1" x14ac:dyDescent="0.3">
      <c r="A6" s="88"/>
      <c r="B6" s="18" t="s">
        <v>44</v>
      </c>
      <c r="C6" s="70">
        <v>5106</v>
      </c>
      <c r="D6" s="71">
        <v>7100</v>
      </c>
      <c r="E6" s="71">
        <v>6183</v>
      </c>
      <c r="F6" s="72">
        <v>13712</v>
      </c>
      <c r="G6" s="30">
        <f t="shared" si="0"/>
        <v>0.23169881478038579</v>
      </c>
      <c r="H6" s="72">
        <v>0</v>
      </c>
      <c r="I6" s="73"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customHeight="1" x14ac:dyDescent="0.3">
      <c r="A8" s="89" t="s">
        <v>8</v>
      </c>
      <c r="B8" s="19" t="s">
        <v>15</v>
      </c>
      <c r="C8" s="11">
        <v>0</v>
      </c>
      <c r="D8" s="12">
        <v>8</v>
      </c>
      <c r="E8" s="12">
        <v>5</v>
      </c>
      <c r="F8" s="29">
        <v>8</v>
      </c>
      <c r="G8" s="30">
        <f t="shared" si="0"/>
        <v>1</v>
      </c>
      <c r="H8" s="29">
        <v>500</v>
      </c>
      <c r="I8" s="31">
        <f t="shared" si="1"/>
        <v>187.5</v>
      </c>
    </row>
    <row r="9" spans="1:12" ht="25" customHeight="1" x14ac:dyDescent="0.3">
      <c r="A9" s="91"/>
      <c r="B9" s="19" t="s">
        <v>16</v>
      </c>
      <c r="C9" s="11">
        <v>0</v>
      </c>
      <c r="D9" s="12">
        <v>0</v>
      </c>
      <c r="E9" s="12">
        <v>0</v>
      </c>
      <c r="F9" s="29">
        <v>38</v>
      </c>
      <c r="G9" s="30">
        <f t="shared" si="0"/>
        <v>0</v>
      </c>
      <c r="H9" s="29">
        <v>6000</v>
      </c>
      <c r="I9" s="31">
        <f t="shared" si="1"/>
        <v>0</v>
      </c>
      <c r="J9" s="1" t="s">
        <v>30</v>
      </c>
      <c r="K9" s="9"/>
      <c r="L9" s="74"/>
    </row>
    <row r="10" spans="1:12" s="39" customFormat="1" ht="5" customHeight="1" x14ac:dyDescent="0.3">
      <c r="A10" s="49"/>
      <c r="B10" s="55"/>
      <c r="C10" s="50"/>
      <c r="D10" s="51"/>
      <c r="E10" s="51"/>
      <c r="F10" s="52"/>
      <c r="G10" s="53"/>
      <c r="H10" s="52"/>
      <c r="I10" s="54"/>
      <c r="J10" s="36"/>
      <c r="K10" s="40"/>
      <c r="L10" s="41"/>
    </row>
    <row r="11" spans="1:12" ht="25" customHeight="1" x14ac:dyDescent="0.3">
      <c r="A11" s="92" t="s">
        <v>9</v>
      </c>
      <c r="B11" s="20" t="s">
        <v>17</v>
      </c>
      <c r="C11" s="11">
        <v>0</v>
      </c>
      <c r="D11" s="12">
        <v>7</v>
      </c>
      <c r="E11" s="12">
        <v>6</v>
      </c>
      <c r="F11" s="29">
        <v>12</v>
      </c>
      <c r="G11" s="30">
        <f t="shared" si="0"/>
        <v>0.58333333333333337</v>
      </c>
      <c r="H11" s="29">
        <v>400</v>
      </c>
      <c r="I11" s="31">
        <f t="shared" si="1"/>
        <v>33.333333333333329</v>
      </c>
      <c r="K11" s="95"/>
      <c r="L11" s="95"/>
    </row>
    <row r="12" spans="1:12" ht="25" customHeight="1" x14ac:dyDescent="0.3">
      <c r="A12" s="93"/>
      <c r="B12" s="20" t="s">
        <v>42</v>
      </c>
      <c r="C12" s="11">
        <v>0</v>
      </c>
      <c r="D12" s="12">
        <v>4</v>
      </c>
      <c r="E12" s="12">
        <v>2</v>
      </c>
      <c r="F12" s="29">
        <v>17</v>
      </c>
      <c r="G12" s="30">
        <f t="shared" si="0"/>
        <v>0.23529411764705882</v>
      </c>
      <c r="H12" s="29">
        <v>350</v>
      </c>
      <c r="I12" s="31">
        <f t="shared" si="1"/>
        <v>41.176470588235297</v>
      </c>
      <c r="K12" s="74"/>
      <c r="L12" s="74"/>
    </row>
    <row r="13" spans="1:12" ht="25" customHeight="1" x14ac:dyDescent="0.3">
      <c r="A13" s="93"/>
      <c r="B13" s="20" t="s">
        <v>39</v>
      </c>
      <c r="C13" s="11">
        <v>0</v>
      </c>
      <c r="D13" s="12" t="s">
        <v>41</v>
      </c>
      <c r="E13" s="12" t="s">
        <v>41</v>
      </c>
      <c r="F13" s="29"/>
      <c r="G13" s="67"/>
      <c r="H13" s="29"/>
      <c r="I13" s="31"/>
      <c r="K13" s="74"/>
      <c r="L13" s="74"/>
    </row>
    <row r="14" spans="1:12" ht="25" customHeight="1" x14ac:dyDescent="0.3">
      <c r="A14" s="93"/>
      <c r="B14" s="20" t="s">
        <v>43</v>
      </c>
      <c r="C14" s="11">
        <v>0</v>
      </c>
      <c r="D14" s="12">
        <v>1</v>
      </c>
      <c r="E14" s="12">
        <v>1</v>
      </c>
      <c r="F14" s="29">
        <v>38</v>
      </c>
      <c r="G14" s="30">
        <f t="shared" si="0"/>
        <v>2.6315789473684209E-2</v>
      </c>
      <c r="H14" s="29">
        <v>2800</v>
      </c>
      <c r="I14" s="31">
        <f t="shared" si="1"/>
        <v>0</v>
      </c>
      <c r="K14" s="74"/>
      <c r="L14" s="74"/>
    </row>
    <row r="15" spans="1:12" ht="25" customHeight="1" x14ac:dyDescent="0.3">
      <c r="A15" s="94"/>
      <c r="B15" s="20" t="s">
        <v>18</v>
      </c>
      <c r="C15" s="11">
        <v>0</v>
      </c>
      <c r="D15" s="12">
        <v>14</v>
      </c>
      <c r="E15" s="12">
        <v>14</v>
      </c>
      <c r="F15" s="29">
        <v>31</v>
      </c>
      <c r="G15" s="30">
        <f t="shared" si="0"/>
        <v>0.45161290322580644</v>
      </c>
      <c r="H15" s="29">
        <v>230</v>
      </c>
      <c r="I15" s="31">
        <f t="shared" si="1"/>
        <v>0</v>
      </c>
    </row>
    <row r="16" spans="1:12" s="39" customFormat="1" ht="5" customHeight="1" x14ac:dyDescent="0.3">
      <c r="A16" s="49"/>
      <c r="B16" s="56"/>
      <c r="C16" s="50"/>
      <c r="D16" s="51"/>
      <c r="E16" s="51"/>
      <c r="F16" s="52"/>
      <c r="G16" s="53"/>
      <c r="H16" s="52"/>
      <c r="I16" s="54"/>
    </row>
    <row r="17" spans="1:11" ht="25" customHeight="1" x14ac:dyDescent="0.3">
      <c r="A17" s="96" t="s">
        <v>19</v>
      </c>
      <c r="B17" s="21" t="s">
        <v>36</v>
      </c>
      <c r="C17" s="11">
        <v>0</v>
      </c>
      <c r="D17" s="12">
        <v>7</v>
      </c>
      <c r="E17" s="12">
        <v>5</v>
      </c>
      <c r="F17" s="29">
        <v>10</v>
      </c>
      <c r="G17" s="30">
        <f t="shared" si="0"/>
        <v>0.7</v>
      </c>
      <c r="H17" s="29">
        <v>550</v>
      </c>
      <c r="I17" s="31">
        <f t="shared" si="1"/>
        <v>110</v>
      </c>
    </row>
    <row r="18" spans="1:11" ht="25" customHeight="1" x14ac:dyDescent="0.3">
      <c r="A18" s="97"/>
      <c r="B18" s="21" t="s">
        <v>26</v>
      </c>
      <c r="C18" s="11">
        <v>91</v>
      </c>
      <c r="D18" s="12">
        <v>91</v>
      </c>
      <c r="E18" s="12">
        <v>91</v>
      </c>
      <c r="F18" s="29">
        <v>107</v>
      </c>
      <c r="G18" s="30">
        <f t="shared" si="0"/>
        <v>0</v>
      </c>
      <c r="H18" s="29">
        <v>500</v>
      </c>
      <c r="I18" s="31">
        <f t="shared" si="1"/>
        <v>0</v>
      </c>
    </row>
    <row r="19" spans="1:11" ht="25" customHeight="1" x14ac:dyDescent="0.3">
      <c r="A19" s="98"/>
      <c r="B19" s="21" t="s">
        <v>33</v>
      </c>
      <c r="C19" s="11">
        <v>0</v>
      </c>
      <c r="D19" s="12">
        <v>0</v>
      </c>
      <c r="E19" s="12">
        <v>0</v>
      </c>
      <c r="F19" s="29">
        <v>28</v>
      </c>
      <c r="G19" s="30">
        <f t="shared" si="0"/>
        <v>0</v>
      </c>
      <c r="H19" s="29">
        <v>2700</v>
      </c>
      <c r="I19" s="31">
        <f t="shared" si="1"/>
        <v>0</v>
      </c>
    </row>
    <row r="20" spans="1:11" s="39" customFormat="1" ht="5" customHeight="1" x14ac:dyDescent="0.3">
      <c r="A20" s="49"/>
      <c r="B20" s="57"/>
      <c r="C20" s="50"/>
      <c r="D20" s="51"/>
      <c r="E20" s="51"/>
      <c r="F20" s="52"/>
      <c r="G20" s="53"/>
      <c r="H20" s="52"/>
      <c r="I20" s="54"/>
    </row>
    <row r="21" spans="1:11" ht="25" customHeight="1" x14ac:dyDescent="0.3">
      <c r="A21" s="79" t="s">
        <v>22</v>
      </c>
      <c r="B21" s="22" t="s">
        <v>32</v>
      </c>
      <c r="C21" s="11">
        <v>0</v>
      </c>
      <c r="D21" s="12">
        <v>4.0999999999999996</v>
      </c>
      <c r="E21" s="12">
        <v>4.0999999999999996</v>
      </c>
      <c r="F21" s="29">
        <v>28</v>
      </c>
      <c r="G21" s="30">
        <f t="shared" si="0"/>
        <v>0.14642857142857141</v>
      </c>
      <c r="H21" s="29">
        <v>2500</v>
      </c>
      <c r="I21" s="31">
        <f t="shared" si="1"/>
        <v>0</v>
      </c>
    </row>
    <row r="22" spans="1:11" ht="25" customHeight="1" x14ac:dyDescent="0.3">
      <c r="A22" s="80"/>
      <c r="B22" s="22" t="s">
        <v>37</v>
      </c>
      <c r="C22" s="11">
        <v>0</v>
      </c>
      <c r="D22" s="12">
        <v>3</v>
      </c>
      <c r="E22" s="12">
        <v>3</v>
      </c>
      <c r="F22" s="29">
        <v>10</v>
      </c>
      <c r="G22" s="30">
        <f t="shared" si="0"/>
        <v>0.3</v>
      </c>
      <c r="H22" s="29">
        <v>450</v>
      </c>
      <c r="I22" s="31">
        <f t="shared" si="1"/>
        <v>0</v>
      </c>
    </row>
    <row r="23" spans="1:11" s="39" customFormat="1" ht="5" customHeight="1" x14ac:dyDescent="0.3">
      <c r="A23" s="49"/>
      <c r="B23" s="58"/>
      <c r="C23" s="50"/>
      <c r="D23" s="51"/>
      <c r="E23" s="51"/>
      <c r="F23" s="52"/>
      <c r="G23" s="53"/>
      <c r="H23" s="52"/>
      <c r="I23" s="54"/>
    </row>
    <row r="24" spans="1:11" ht="25" customHeight="1" x14ac:dyDescent="0.3">
      <c r="A24" s="81" t="s">
        <v>24</v>
      </c>
      <c r="B24" s="23" t="s">
        <v>34</v>
      </c>
      <c r="C24" s="11">
        <v>72</v>
      </c>
      <c r="D24" s="12">
        <v>72</v>
      </c>
      <c r="E24" s="12">
        <v>72</v>
      </c>
      <c r="F24" s="29">
        <v>103</v>
      </c>
      <c r="G24" s="30">
        <f t="shared" si="0"/>
        <v>0</v>
      </c>
      <c r="H24" s="29">
        <v>630</v>
      </c>
      <c r="I24" s="31">
        <f t="shared" si="1"/>
        <v>0</v>
      </c>
      <c r="K24" s="68"/>
    </row>
    <row r="25" spans="1:11" ht="25" customHeight="1" x14ac:dyDescent="0.3">
      <c r="A25" s="82"/>
      <c r="B25" s="23" t="s">
        <v>38</v>
      </c>
      <c r="C25" s="11">
        <v>0</v>
      </c>
      <c r="D25" s="12">
        <v>4</v>
      </c>
      <c r="E25" s="12">
        <v>4</v>
      </c>
      <c r="F25" s="29">
        <v>10</v>
      </c>
      <c r="G25" s="30">
        <f t="shared" si="0"/>
        <v>0.4</v>
      </c>
      <c r="H25" s="29">
        <v>450</v>
      </c>
      <c r="I25" s="31">
        <f t="shared" si="1"/>
        <v>0</v>
      </c>
    </row>
    <row r="26" spans="1:11" ht="25" customHeight="1" x14ac:dyDescent="0.3">
      <c r="A26" s="83"/>
      <c r="B26" s="24" t="s">
        <v>40</v>
      </c>
      <c r="C26" s="13">
        <v>0</v>
      </c>
      <c r="D26" s="14">
        <v>0</v>
      </c>
      <c r="E26" s="14">
        <v>0</v>
      </c>
      <c r="F26" s="32">
        <v>28</v>
      </c>
      <c r="G26" s="33">
        <f t="shared" si="0"/>
        <v>0</v>
      </c>
      <c r="H26" s="32">
        <v>2300</v>
      </c>
      <c r="I26" s="34">
        <f t="shared" si="1"/>
        <v>0</v>
      </c>
    </row>
    <row r="27" spans="1:11" s="39" customFormat="1" ht="5" customHeight="1" x14ac:dyDescent="0.3">
      <c r="A27" s="42"/>
      <c r="B27" s="43"/>
      <c r="C27" s="44"/>
      <c r="D27" s="45"/>
      <c r="E27" s="45"/>
      <c r="F27" s="46"/>
      <c r="G27" s="47"/>
      <c r="H27" s="46"/>
      <c r="I27" s="48"/>
    </row>
  </sheetData>
  <mergeCells count="8">
    <mergeCell ref="A21:A22"/>
    <mergeCell ref="A24:A26"/>
    <mergeCell ref="K2:L3"/>
    <mergeCell ref="A3:A6"/>
    <mergeCell ref="A8:A9"/>
    <mergeCell ref="A11:A15"/>
    <mergeCell ref="K11:L11"/>
    <mergeCell ref="A17:A19"/>
  </mergeCells>
  <phoneticPr fontId="1" type="noConversion"/>
  <conditionalFormatting sqref="G8:G27 G3:G6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{23616178-06BA-4E38-985D-B91E8B3E46E9}</x14:id>
        </ext>
      </extLst>
    </cfRule>
  </conditionalFormatting>
  <conditionalFormatting sqref="G17:G20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{B3ED55D9-F103-4670-9733-C38A417D3C1B}</x14:id>
        </ext>
      </extLst>
    </cfRule>
  </conditionalFormatting>
  <conditionalFormatting sqref="G21:G23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{876C70D7-8233-4F4A-A627-A944A5D41E86}</x14:id>
        </ext>
      </extLst>
    </cfRule>
  </conditionalFormatting>
  <conditionalFormatting sqref="G24:G27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{5ED19FCC-7A77-47C9-8DAC-40EE631A2F1E}</x14:id>
        </ext>
      </extLst>
    </cfRule>
  </conditionalFormatting>
  <conditionalFormatting sqref="G8:G9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{5E31DF39-D49B-4C51-9079-40444CF37F5C}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{D4F70868-80F2-40C0-8377-019E176B8284}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{81C1A0D9-2034-4AAC-8E5C-789EE64666C4}</x14:id>
        </ext>
      </extLst>
    </cfRule>
  </conditionalFormatting>
  <conditionalFormatting sqref="G11:G15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{7960481B-4563-4C82-9962-7BF210B37F86}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616178-06BA-4E38-985D-B91E8B3E46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G8:G27 G3:G6</xm:sqref>
        </x14:conditionalFormatting>
        <x14:conditionalFormatting xmlns:xm="http://schemas.microsoft.com/office/excel/2006/main">
          <x14:cfRule type="dataBar" id="{B3ED55D9-F103-4670-9733-C38A417D3C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G17:G20</xm:sqref>
        </x14:conditionalFormatting>
        <x14:conditionalFormatting xmlns:xm="http://schemas.microsoft.com/office/excel/2006/main">
          <x14:cfRule type="dataBar" id="{876C70D7-8233-4F4A-A627-A944A5D41E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G21:G23</xm:sqref>
        </x14:conditionalFormatting>
        <x14:conditionalFormatting xmlns:xm="http://schemas.microsoft.com/office/excel/2006/main">
          <x14:cfRule type="dataBar" id="{5ED19FCC-7A77-47C9-8DAC-40EE631A2F1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G24:G27</xm:sqref>
        </x14:conditionalFormatting>
        <x14:conditionalFormatting xmlns:xm="http://schemas.microsoft.com/office/excel/2006/main">
          <x14:cfRule type="dataBar" id="{5E31DF39-D49B-4C51-9079-40444CF37F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D4F70868-80F2-40C0-8377-019E176B82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1C1A0D9-2034-4AAC-8E5C-789EE64666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G8:G9</xm:sqref>
        </x14:conditionalFormatting>
        <x14:conditionalFormatting xmlns:xm="http://schemas.microsoft.com/office/excel/2006/main">
          <x14:cfRule type="dataBar" id="{7960481B-4563-4C82-9962-7BF210B37F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G11:G15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B0C37-CC82-4327-8B7B-590E238BBF83}">
  <sheetPr codeName="Sheet4">
    <pageSetUpPr fitToPage="1"/>
  </sheetPr>
  <dimension ref="A1:L27"/>
  <sheetViews>
    <sheetView zoomScaleNormal="100" workbookViewId="0">
      <selection activeCell="B1" sqref="B1:B1048576"/>
    </sheetView>
  </sheetViews>
  <sheetFormatPr defaultRowHeight="14" x14ac:dyDescent="0.3"/>
  <cols>
    <col min="1" max="1" width="9.58203125" customWidth="1"/>
    <col min="2" max="2" width="27.6640625" customWidth="1"/>
    <col min="3" max="3" width="9.75" style="2" hidden="1" customWidth="1"/>
    <col min="4" max="4" width="9.58203125" customWidth="1"/>
    <col min="5" max="5" width="11.58203125" hidden="1" customWidth="1"/>
    <col min="6" max="6" width="11.1640625" style="2" hidden="1" customWidth="1"/>
    <col min="7" max="7" width="121.33203125" customWidth="1"/>
    <col min="8" max="8" width="9.58203125" style="2" hidden="1" customWidth="1"/>
    <col min="9" max="9" width="9.58203125" customWidth="1"/>
    <col min="10" max="10" width="11.58203125" customWidth="1"/>
    <col min="11" max="12" width="9.5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84" t="str">
        <f>ROUND(SUM(I3:I38),0)&amp;"+"</f>
        <v>520+</v>
      </c>
      <c r="L2" s="85"/>
    </row>
    <row r="3" spans="1:12" ht="25" customHeight="1" x14ac:dyDescent="0.3">
      <c r="A3" s="86" t="s">
        <v>7</v>
      </c>
      <c r="B3" s="18" t="s">
        <v>13</v>
      </c>
      <c r="C3" s="11">
        <v>0</v>
      </c>
      <c r="D3" s="12">
        <v>3</v>
      </c>
      <c r="E3" s="12">
        <v>2</v>
      </c>
      <c r="F3" s="29">
        <v>13</v>
      </c>
      <c r="G3" s="30">
        <f>(D3-C3)/(F3-C3)</f>
        <v>0.23076923076923078</v>
      </c>
      <c r="H3" s="29">
        <v>700</v>
      </c>
      <c r="I3" s="31">
        <f>((D3-E3)/F3)*H3</f>
        <v>53.846153846153847</v>
      </c>
      <c r="K3" s="85"/>
      <c r="L3" s="85"/>
    </row>
    <row r="4" spans="1:12" ht="25" customHeight="1" x14ac:dyDescent="0.3">
      <c r="A4" s="87"/>
      <c r="B4" s="18" t="s">
        <v>31</v>
      </c>
      <c r="C4" s="11">
        <v>0</v>
      </c>
      <c r="D4" s="60">
        <v>5</v>
      </c>
      <c r="E4" s="60">
        <v>4</v>
      </c>
      <c r="F4" s="59">
        <v>65</v>
      </c>
      <c r="G4" s="30">
        <f t="shared" ref="G4:G26" si="0">(D4-C4)/(F4-C4)</f>
        <v>7.6923076923076927E-2</v>
      </c>
      <c r="H4" s="29">
        <v>1500</v>
      </c>
      <c r="I4" s="31">
        <f t="shared" ref="I4:I26" si="1">((D4-E4)/F4)*H4</f>
        <v>23.076923076923077</v>
      </c>
    </row>
    <row r="5" spans="1:12" ht="25" customHeight="1" x14ac:dyDescent="0.3">
      <c r="A5" s="87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44748</v>
      </c>
      <c r="L5" s="7">
        <v>0.89097222222222217</v>
      </c>
    </row>
    <row r="6" spans="1:12" ht="25" customHeight="1" x14ac:dyDescent="0.3">
      <c r="A6" s="88"/>
      <c r="B6" s="18" t="s">
        <v>44</v>
      </c>
      <c r="C6" s="70">
        <v>5106</v>
      </c>
      <c r="D6" s="71">
        <v>6183</v>
      </c>
      <c r="E6" s="71">
        <v>5676</v>
      </c>
      <c r="F6" s="72">
        <v>13712</v>
      </c>
      <c r="G6" s="30">
        <f t="shared" si="0"/>
        <v>0.12514524750174297</v>
      </c>
      <c r="H6" s="72">
        <v>0</v>
      </c>
      <c r="I6" s="73">
        <v>0</v>
      </c>
      <c r="J6" s="1"/>
      <c r="K6" s="6"/>
      <c r="L6" s="7"/>
    </row>
    <row r="7" spans="1:12" s="39" customFormat="1" ht="5" customHeight="1" x14ac:dyDescent="0.3">
      <c r="A7" s="62"/>
      <c r="B7" s="63"/>
      <c r="C7" s="63"/>
      <c r="D7" s="63"/>
      <c r="E7" s="63"/>
      <c r="F7" s="63"/>
      <c r="G7" s="64"/>
      <c r="H7" s="52"/>
      <c r="I7" s="54"/>
      <c r="J7" s="36"/>
      <c r="K7" s="37"/>
      <c r="L7" s="38"/>
    </row>
    <row r="8" spans="1:12" ht="25" customHeight="1" x14ac:dyDescent="0.3">
      <c r="A8" s="89" t="s">
        <v>8</v>
      </c>
      <c r="B8" s="19" t="s">
        <v>15</v>
      </c>
      <c r="C8" s="11">
        <v>0</v>
      </c>
      <c r="D8" s="12">
        <v>5</v>
      </c>
      <c r="E8" s="12">
        <v>3.7</v>
      </c>
      <c r="F8" s="29">
        <v>8</v>
      </c>
      <c r="G8" s="30">
        <f t="shared" si="0"/>
        <v>0.625</v>
      </c>
      <c r="H8" s="29">
        <v>500</v>
      </c>
      <c r="I8" s="31">
        <f t="shared" si="1"/>
        <v>81.249999999999986</v>
      </c>
    </row>
    <row r="9" spans="1:12" ht="25" customHeight="1" x14ac:dyDescent="0.3">
      <c r="A9" s="91"/>
      <c r="B9" s="19" t="s">
        <v>16</v>
      </c>
      <c r="C9" s="11">
        <v>0</v>
      </c>
      <c r="D9" s="12">
        <v>0</v>
      </c>
      <c r="E9" s="12">
        <v>0</v>
      </c>
      <c r="F9" s="29">
        <v>38</v>
      </c>
      <c r="G9" s="30">
        <f t="shared" si="0"/>
        <v>0</v>
      </c>
      <c r="H9" s="29">
        <v>6000</v>
      </c>
      <c r="I9" s="31">
        <f t="shared" si="1"/>
        <v>0</v>
      </c>
      <c r="J9" s="1" t="s">
        <v>30</v>
      </c>
      <c r="K9" s="9"/>
      <c r="L9" s="69"/>
    </row>
    <row r="10" spans="1:12" s="39" customFormat="1" ht="5" customHeight="1" x14ac:dyDescent="0.3">
      <c r="A10" s="49"/>
      <c r="B10" s="55"/>
      <c r="C10" s="50"/>
      <c r="D10" s="51"/>
      <c r="E10" s="51"/>
      <c r="F10" s="52"/>
      <c r="G10" s="53"/>
      <c r="H10" s="52"/>
      <c r="I10" s="54"/>
      <c r="J10" s="36"/>
      <c r="K10" s="40"/>
      <c r="L10" s="41"/>
    </row>
    <row r="11" spans="1:12" ht="25" customHeight="1" x14ac:dyDescent="0.3">
      <c r="A11" s="92" t="s">
        <v>9</v>
      </c>
      <c r="B11" s="20" t="s">
        <v>17</v>
      </c>
      <c r="C11" s="11">
        <v>0</v>
      </c>
      <c r="D11" s="12">
        <v>6</v>
      </c>
      <c r="E11" s="12">
        <v>4</v>
      </c>
      <c r="F11" s="29">
        <v>12</v>
      </c>
      <c r="G11" s="30">
        <f t="shared" si="0"/>
        <v>0.5</v>
      </c>
      <c r="H11" s="29">
        <v>400</v>
      </c>
      <c r="I11" s="31">
        <f t="shared" si="1"/>
        <v>66.666666666666657</v>
      </c>
      <c r="K11" s="95"/>
      <c r="L11" s="95"/>
    </row>
    <row r="12" spans="1:12" ht="25" customHeight="1" x14ac:dyDescent="0.3">
      <c r="A12" s="93"/>
      <c r="B12" s="20" t="s">
        <v>42</v>
      </c>
      <c r="C12" s="11">
        <v>0</v>
      </c>
      <c r="D12" s="12">
        <v>2</v>
      </c>
      <c r="E12" s="12">
        <v>1</v>
      </c>
      <c r="F12" s="29">
        <v>17</v>
      </c>
      <c r="G12" s="30">
        <f t="shared" si="0"/>
        <v>0.11764705882352941</v>
      </c>
      <c r="H12" s="29">
        <v>350</v>
      </c>
      <c r="I12" s="31">
        <f t="shared" si="1"/>
        <v>20.588235294117649</v>
      </c>
      <c r="K12" s="69"/>
      <c r="L12" s="69"/>
    </row>
    <row r="13" spans="1:12" ht="25" customHeight="1" x14ac:dyDescent="0.3">
      <c r="A13" s="93"/>
      <c r="B13" s="20" t="s">
        <v>39</v>
      </c>
      <c r="C13" s="11">
        <v>0</v>
      </c>
      <c r="D13" s="12" t="s">
        <v>41</v>
      </c>
      <c r="E13" s="12" t="s">
        <v>41</v>
      </c>
      <c r="F13" s="29"/>
      <c r="G13" s="67"/>
      <c r="H13" s="29"/>
      <c r="I13" s="31"/>
      <c r="K13" s="69"/>
      <c r="L13" s="69"/>
    </row>
    <row r="14" spans="1:12" ht="25" customHeight="1" x14ac:dyDescent="0.3">
      <c r="A14" s="93"/>
      <c r="B14" s="20" t="s">
        <v>43</v>
      </c>
      <c r="C14" s="11">
        <v>0</v>
      </c>
      <c r="D14" s="12">
        <v>1</v>
      </c>
      <c r="E14" s="12">
        <v>1</v>
      </c>
      <c r="F14" s="29">
        <v>38</v>
      </c>
      <c r="G14" s="30">
        <f t="shared" si="0"/>
        <v>2.6315789473684209E-2</v>
      </c>
      <c r="H14" s="29">
        <v>2800</v>
      </c>
      <c r="I14" s="31">
        <f t="shared" si="1"/>
        <v>0</v>
      </c>
      <c r="K14" s="69"/>
      <c r="L14" s="69"/>
    </row>
    <row r="15" spans="1:12" ht="25" customHeight="1" x14ac:dyDescent="0.3">
      <c r="A15" s="94"/>
      <c r="B15" s="20" t="s">
        <v>18</v>
      </c>
      <c r="C15" s="11">
        <v>0</v>
      </c>
      <c r="D15" s="12">
        <v>14</v>
      </c>
      <c r="E15" s="12">
        <v>10</v>
      </c>
      <c r="F15" s="29">
        <v>31</v>
      </c>
      <c r="G15" s="30">
        <f t="shared" si="0"/>
        <v>0.45161290322580644</v>
      </c>
      <c r="H15" s="29">
        <v>230</v>
      </c>
      <c r="I15" s="31">
        <f t="shared" si="1"/>
        <v>29.677419354838708</v>
      </c>
    </row>
    <row r="16" spans="1:12" s="39" customFormat="1" ht="5" customHeight="1" x14ac:dyDescent="0.3">
      <c r="A16" s="49"/>
      <c r="B16" s="56"/>
      <c r="C16" s="50"/>
      <c r="D16" s="51"/>
      <c r="E16" s="51"/>
      <c r="F16" s="52"/>
      <c r="G16" s="53"/>
      <c r="H16" s="52"/>
      <c r="I16" s="54"/>
    </row>
    <row r="17" spans="1:11" ht="25" customHeight="1" x14ac:dyDescent="0.3">
      <c r="A17" s="96" t="s">
        <v>19</v>
      </c>
      <c r="B17" s="21" t="s">
        <v>36</v>
      </c>
      <c r="C17" s="11">
        <v>0</v>
      </c>
      <c r="D17" s="12">
        <v>5</v>
      </c>
      <c r="E17" s="12">
        <v>3</v>
      </c>
      <c r="F17" s="29">
        <v>10</v>
      </c>
      <c r="G17" s="30">
        <f t="shared" si="0"/>
        <v>0.5</v>
      </c>
      <c r="H17" s="29">
        <v>550</v>
      </c>
      <c r="I17" s="31">
        <f t="shared" si="1"/>
        <v>110</v>
      </c>
    </row>
    <row r="18" spans="1:11" ht="25" customHeight="1" x14ac:dyDescent="0.3">
      <c r="A18" s="97"/>
      <c r="B18" s="21" t="s">
        <v>26</v>
      </c>
      <c r="C18" s="11">
        <v>91</v>
      </c>
      <c r="D18" s="12">
        <v>91</v>
      </c>
      <c r="E18" s="12">
        <v>91</v>
      </c>
      <c r="F18" s="29">
        <v>107</v>
      </c>
      <c r="G18" s="30">
        <f t="shared" si="0"/>
        <v>0</v>
      </c>
      <c r="H18" s="29">
        <v>500</v>
      </c>
      <c r="I18" s="31">
        <f t="shared" si="1"/>
        <v>0</v>
      </c>
    </row>
    <row r="19" spans="1:11" ht="25" customHeight="1" x14ac:dyDescent="0.3">
      <c r="A19" s="98"/>
      <c r="B19" s="21" t="s">
        <v>33</v>
      </c>
      <c r="C19" s="11">
        <v>0</v>
      </c>
      <c r="D19" s="12">
        <v>0</v>
      </c>
      <c r="E19" s="12">
        <v>0</v>
      </c>
      <c r="F19" s="29">
        <v>28</v>
      </c>
      <c r="G19" s="30">
        <f t="shared" si="0"/>
        <v>0</v>
      </c>
      <c r="H19" s="29">
        <v>2700</v>
      </c>
      <c r="I19" s="31">
        <f t="shared" si="1"/>
        <v>0</v>
      </c>
    </row>
    <row r="20" spans="1:11" s="39" customFormat="1" ht="5" customHeight="1" x14ac:dyDescent="0.3">
      <c r="A20" s="49"/>
      <c r="B20" s="57"/>
      <c r="C20" s="50"/>
      <c r="D20" s="51"/>
      <c r="E20" s="51"/>
      <c r="F20" s="52"/>
      <c r="G20" s="53"/>
      <c r="H20" s="52"/>
      <c r="I20" s="54"/>
    </row>
    <row r="21" spans="1:11" ht="25" customHeight="1" x14ac:dyDescent="0.3">
      <c r="A21" s="79" t="s">
        <v>22</v>
      </c>
      <c r="B21" s="22" t="s">
        <v>32</v>
      </c>
      <c r="C21" s="11">
        <v>0</v>
      </c>
      <c r="D21" s="12">
        <v>4.0999999999999996</v>
      </c>
      <c r="E21" s="12">
        <v>4.0999999999999996</v>
      </c>
      <c r="F21" s="29">
        <v>28</v>
      </c>
      <c r="G21" s="30">
        <f t="shared" si="0"/>
        <v>0.14642857142857141</v>
      </c>
      <c r="H21" s="29">
        <v>2500</v>
      </c>
      <c r="I21" s="31">
        <f t="shared" si="1"/>
        <v>0</v>
      </c>
    </row>
    <row r="22" spans="1:11" ht="25" customHeight="1" x14ac:dyDescent="0.3">
      <c r="A22" s="80"/>
      <c r="B22" s="22" t="s">
        <v>37</v>
      </c>
      <c r="C22" s="11">
        <v>0</v>
      </c>
      <c r="D22" s="12">
        <v>3</v>
      </c>
      <c r="E22" s="12">
        <v>2</v>
      </c>
      <c r="F22" s="29">
        <v>10</v>
      </c>
      <c r="G22" s="30">
        <f t="shared" si="0"/>
        <v>0.3</v>
      </c>
      <c r="H22" s="29">
        <v>450</v>
      </c>
      <c r="I22" s="31">
        <f t="shared" si="1"/>
        <v>45</v>
      </c>
    </row>
    <row r="23" spans="1:11" s="39" customFormat="1" ht="5" customHeight="1" x14ac:dyDescent="0.3">
      <c r="A23" s="49"/>
      <c r="B23" s="58"/>
      <c r="C23" s="50"/>
      <c r="D23" s="51"/>
      <c r="E23" s="51"/>
      <c r="F23" s="52"/>
      <c r="G23" s="53"/>
      <c r="H23" s="52"/>
      <c r="I23" s="54"/>
    </row>
    <row r="24" spans="1:11" ht="25" customHeight="1" x14ac:dyDescent="0.3">
      <c r="A24" s="81" t="s">
        <v>24</v>
      </c>
      <c r="B24" s="23" t="s">
        <v>34</v>
      </c>
      <c r="C24" s="11">
        <v>72</v>
      </c>
      <c r="D24" s="12">
        <v>72</v>
      </c>
      <c r="E24" s="12">
        <v>72</v>
      </c>
      <c r="F24" s="29">
        <v>103</v>
      </c>
      <c r="G24" s="30">
        <f t="shared" si="0"/>
        <v>0</v>
      </c>
      <c r="H24" s="29">
        <v>630</v>
      </c>
      <c r="I24" s="31">
        <f t="shared" si="1"/>
        <v>0</v>
      </c>
      <c r="K24" s="68"/>
    </row>
    <row r="25" spans="1:11" ht="25" customHeight="1" x14ac:dyDescent="0.3">
      <c r="A25" s="82"/>
      <c r="B25" s="23" t="s">
        <v>38</v>
      </c>
      <c r="C25" s="11">
        <v>0</v>
      </c>
      <c r="D25" s="12">
        <v>4</v>
      </c>
      <c r="E25" s="12">
        <v>2</v>
      </c>
      <c r="F25" s="29">
        <v>10</v>
      </c>
      <c r="G25" s="30">
        <f t="shared" si="0"/>
        <v>0.4</v>
      </c>
      <c r="H25" s="29">
        <v>450</v>
      </c>
      <c r="I25" s="31">
        <f t="shared" si="1"/>
        <v>90</v>
      </c>
    </row>
    <row r="26" spans="1:11" ht="25" customHeight="1" x14ac:dyDescent="0.3">
      <c r="A26" s="83"/>
      <c r="B26" s="24" t="s">
        <v>40</v>
      </c>
      <c r="C26" s="13">
        <v>0</v>
      </c>
      <c r="D26" s="14">
        <v>0</v>
      </c>
      <c r="E26" s="14">
        <v>0</v>
      </c>
      <c r="F26" s="32">
        <v>28</v>
      </c>
      <c r="G26" s="33">
        <f t="shared" si="0"/>
        <v>0</v>
      </c>
      <c r="H26" s="32">
        <v>2300</v>
      </c>
      <c r="I26" s="34">
        <f t="shared" si="1"/>
        <v>0</v>
      </c>
    </row>
    <row r="27" spans="1:11" s="39" customFormat="1" ht="5" customHeight="1" x14ac:dyDescent="0.3">
      <c r="A27" s="42"/>
      <c r="B27" s="43"/>
      <c r="C27" s="44"/>
      <c r="D27" s="45"/>
      <c r="E27" s="45"/>
      <c r="F27" s="46"/>
      <c r="G27" s="47"/>
      <c r="H27" s="46"/>
      <c r="I27" s="48"/>
    </row>
  </sheetData>
  <mergeCells count="8">
    <mergeCell ref="A21:A22"/>
    <mergeCell ref="A24:A26"/>
    <mergeCell ref="K2:L3"/>
    <mergeCell ref="A8:A9"/>
    <mergeCell ref="A11:A15"/>
    <mergeCell ref="K11:L11"/>
    <mergeCell ref="A17:A19"/>
    <mergeCell ref="A3:A6"/>
  </mergeCells>
  <phoneticPr fontId="1" type="noConversion"/>
  <conditionalFormatting sqref="G8:G27 G3:G6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{704D1C2B-3FA5-454F-AD8C-95BC27715FC6}</x14:id>
        </ext>
      </extLst>
    </cfRule>
  </conditionalFormatting>
  <conditionalFormatting sqref="G17:G20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{7D91BFE7-0831-435E-873D-3DB3B894C3FD}</x14:id>
        </ext>
      </extLst>
    </cfRule>
  </conditionalFormatting>
  <conditionalFormatting sqref="G21:G23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{79572734-E8EC-4BEC-B85A-89CDF01E03BA}</x14:id>
        </ext>
      </extLst>
    </cfRule>
  </conditionalFormatting>
  <conditionalFormatting sqref="G24:G27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{48398A06-8D1F-4C74-A8A3-1348D20D9549}</x14:id>
        </ext>
      </extLst>
    </cfRule>
  </conditionalFormatting>
  <conditionalFormatting sqref="G8:G9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{562C8AB4-C146-4BDD-BB8D-4BECDA89CEE7}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{4D2B94FB-053C-4ECF-9A41-BAB637A5E208}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{6D777C65-B18C-4434-9A65-0B41878E7260}</x14:id>
        </ext>
      </extLst>
    </cfRule>
  </conditionalFormatting>
  <conditionalFormatting sqref="G11:G15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{9DF2D740-0BF4-44EE-A46B-9B521F3DAA23}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4D1C2B-3FA5-454F-AD8C-95BC27715F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G8:G27 G3:G6</xm:sqref>
        </x14:conditionalFormatting>
        <x14:conditionalFormatting xmlns:xm="http://schemas.microsoft.com/office/excel/2006/main">
          <x14:cfRule type="dataBar" id="{7D91BFE7-0831-435E-873D-3DB3B894C3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G17:G20</xm:sqref>
        </x14:conditionalFormatting>
        <x14:conditionalFormatting xmlns:xm="http://schemas.microsoft.com/office/excel/2006/main">
          <x14:cfRule type="dataBar" id="{79572734-E8EC-4BEC-B85A-89CDF01E03B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G21:G23</xm:sqref>
        </x14:conditionalFormatting>
        <x14:conditionalFormatting xmlns:xm="http://schemas.microsoft.com/office/excel/2006/main">
          <x14:cfRule type="dataBar" id="{48398A06-8D1F-4C74-A8A3-1348D20D954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G24:G27</xm:sqref>
        </x14:conditionalFormatting>
        <x14:conditionalFormatting xmlns:xm="http://schemas.microsoft.com/office/excel/2006/main">
          <x14:cfRule type="dataBar" id="{562C8AB4-C146-4BDD-BB8D-4BECDA89CEE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4D2B94FB-053C-4ECF-9A41-BAB637A5E2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777C65-B18C-4434-9A65-0B41878E726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G8:G9</xm:sqref>
        </x14:conditionalFormatting>
        <x14:conditionalFormatting xmlns:xm="http://schemas.microsoft.com/office/excel/2006/main">
          <x14:cfRule type="dataBar" id="{9DF2D740-0BF4-44EE-A46B-9B521F3DAA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G11:G15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4E95-80F4-450A-B005-CE38AC42254E}">
  <sheetPr codeName="Sheet3">
    <pageSetUpPr fitToPage="1"/>
  </sheetPr>
  <dimension ref="A1:L27"/>
  <sheetViews>
    <sheetView zoomScaleNormal="100" workbookViewId="0">
      <selection activeCell="B9" sqref="B9"/>
    </sheetView>
  </sheetViews>
  <sheetFormatPr defaultRowHeight="14" x14ac:dyDescent="0.3"/>
  <cols>
    <col min="1" max="1" width="9.58203125" customWidth="1"/>
    <col min="2" max="2" width="27.6640625" customWidth="1"/>
    <col min="3" max="3" width="9.75" style="2" hidden="1" customWidth="1"/>
    <col min="4" max="4" width="9.58203125" customWidth="1"/>
    <col min="5" max="5" width="11.58203125" hidden="1" customWidth="1"/>
    <col min="6" max="6" width="11.1640625" style="2" hidden="1" customWidth="1"/>
    <col min="7" max="7" width="121.33203125" customWidth="1"/>
    <col min="8" max="8" width="9.58203125" style="2" hidden="1" customWidth="1"/>
    <col min="9" max="9" width="11.33203125" customWidth="1"/>
    <col min="10" max="10" width="11.58203125" customWidth="1"/>
    <col min="11" max="12" width="9.5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84" t="str">
        <f>ROUND(SUM(I3:I37),0)&amp;"+"</f>
        <v>466+</v>
      </c>
      <c r="L2" s="85"/>
    </row>
    <row r="3" spans="1:12" ht="25" customHeight="1" x14ac:dyDescent="0.3">
      <c r="A3" s="99" t="s">
        <v>7</v>
      </c>
      <c r="B3" s="18" t="s">
        <v>13</v>
      </c>
      <c r="C3" s="11">
        <v>0</v>
      </c>
      <c r="D3" s="12">
        <v>2</v>
      </c>
      <c r="E3" s="12">
        <v>0.8</v>
      </c>
      <c r="F3" s="29">
        <v>13</v>
      </c>
      <c r="G3" s="30">
        <f>(D3-C3)/(F3-C3)</f>
        <v>0.15384615384615385</v>
      </c>
      <c r="H3" s="29">
        <v>700</v>
      </c>
      <c r="I3" s="31">
        <f>((D3-E3)/F3)*H3</f>
        <v>64.615384615384613</v>
      </c>
      <c r="K3" s="85"/>
      <c r="L3" s="85"/>
    </row>
    <row r="4" spans="1:12" ht="25" customHeight="1" x14ac:dyDescent="0.3">
      <c r="A4" s="100"/>
      <c r="B4" s="18" t="s">
        <v>31</v>
      </c>
      <c r="C4" s="11">
        <v>0</v>
      </c>
      <c r="D4" s="60">
        <v>4</v>
      </c>
      <c r="E4" s="60">
        <v>3</v>
      </c>
      <c r="F4" s="59">
        <v>65</v>
      </c>
      <c r="G4" s="30">
        <f t="shared" ref="G4:G25" si="0">(D4-C4)/(F4-C4)</f>
        <v>6.1538461538461542E-2</v>
      </c>
      <c r="H4" s="29">
        <v>1500</v>
      </c>
      <c r="I4" s="31">
        <f t="shared" ref="I4:I25" si="1">((D4-E4)/F4)*H4</f>
        <v>23.076923076923077</v>
      </c>
    </row>
    <row r="5" spans="1:12" ht="25" customHeight="1" x14ac:dyDescent="0.3">
      <c r="A5" s="101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44747</v>
      </c>
      <c r="L5" s="7">
        <v>0.87777777777777777</v>
      </c>
    </row>
    <row r="6" spans="1:12" s="39" customFormat="1" ht="5" customHeight="1" x14ac:dyDescent="0.3">
      <c r="A6" s="62"/>
      <c r="B6" s="18"/>
      <c r="C6" s="63"/>
      <c r="D6" s="63"/>
      <c r="E6" s="63"/>
      <c r="F6" s="63"/>
      <c r="G6" s="64"/>
      <c r="H6" s="52"/>
      <c r="I6" s="54"/>
      <c r="J6" s="36"/>
      <c r="K6" s="37"/>
      <c r="L6" s="38"/>
    </row>
    <row r="7" spans="1:12" ht="25" customHeight="1" x14ac:dyDescent="0.3">
      <c r="A7" s="89" t="s">
        <v>8</v>
      </c>
      <c r="B7" s="63" t="s">
        <v>15</v>
      </c>
      <c r="C7" s="11">
        <v>0</v>
      </c>
      <c r="D7" s="12">
        <v>3.7</v>
      </c>
      <c r="E7" s="12">
        <v>2.7</v>
      </c>
      <c r="F7" s="29">
        <v>8</v>
      </c>
      <c r="G7" s="30">
        <f t="shared" si="0"/>
        <v>0.46250000000000002</v>
      </c>
      <c r="H7" s="29">
        <v>500</v>
      </c>
      <c r="I7" s="31">
        <f t="shared" si="1"/>
        <v>62.5</v>
      </c>
    </row>
    <row r="8" spans="1:12" ht="25" customHeight="1" x14ac:dyDescent="0.3">
      <c r="A8" s="91"/>
      <c r="B8" s="19" t="s">
        <v>16</v>
      </c>
      <c r="C8" s="11">
        <v>0</v>
      </c>
      <c r="D8" s="12">
        <v>0</v>
      </c>
      <c r="E8" s="12">
        <v>0</v>
      </c>
      <c r="F8" s="29">
        <v>38</v>
      </c>
      <c r="G8" s="30">
        <f t="shared" si="0"/>
        <v>0</v>
      </c>
      <c r="H8" s="29">
        <v>6000</v>
      </c>
      <c r="I8" s="31">
        <f t="shared" si="1"/>
        <v>0</v>
      </c>
      <c r="J8" s="1" t="s">
        <v>30</v>
      </c>
      <c r="K8" s="9"/>
      <c r="L8" s="65"/>
    </row>
    <row r="9" spans="1:12" s="39" customFormat="1" ht="5" customHeight="1" x14ac:dyDescent="0.3">
      <c r="A9" s="49"/>
      <c r="B9" s="19"/>
      <c r="C9" s="50"/>
      <c r="D9" s="51"/>
      <c r="E9" s="51"/>
      <c r="F9" s="52"/>
      <c r="G9" s="53"/>
      <c r="H9" s="52"/>
      <c r="I9" s="54"/>
      <c r="J9" s="36"/>
      <c r="K9" s="40"/>
      <c r="L9" s="41"/>
    </row>
    <row r="10" spans="1:12" ht="25" customHeight="1" x14ac:dyDescent="0.3">
      <c r="A10" s="92" t="s">
        <v>9</v>
      </c>
      <c r="B10" s="55" t="s">
        <v>17</v>
      </c>
      <c r="C10" s="11">
        <v>0</v>
      </c>
      <c r="D10" s="12">
        <v>4</v>
      </c>
      <c r="E10" s="12">
        <v>2</v>
      </c>
      <c r="F10" s="29">
        <v>12</v>
      </c>
      <c r="G10" s="30">
        <f t="shared" si="0"/>
        <v>0.33333333333333331</v>
      </c>
      <c r="H10" s="29">
        <v>400</v>
      </c>
      <c r="I10" s="31">
        <f t="shared" si="1"/>
        <v>66.666666666666657</v>
      </c>
      <c r="K10" s="95"/>
      <c r="L10" s="95"/>
    </row>
    <row r="11" spans="1:12" ht="25" customHeight="1" x14ac:dyDescent="0.3">
      <c r="A11" s="93"/>
      <c r="B11" s="20" t="s">
        <v>42</v>
      </c>
      <c r="C11" s="11">
        <v>0</v>
      </c>
      <c r="D11" s="12">
        <v>1</v>
      </c>
      <c r="E11" s="12">
        <v>0</v>
      </c>
      <c r="F11" s="29">
        <v>17</v>
      </c>
      <c r="G11" s="30">
        <f t="shared" si="0"/>
        <v>5.8823529411764705E-2</v>
      </c>
      <c r="H11" s="29">
        <v>350</v>
      </c>
      <c r="I11" s="31">
        <f t="shared" si="1"/>
        <v>20.588235294117649</v>
      </c>
      <c r="K11" s="65"/>
      <c r="L11" s="65"/>
    </row>
    <row r="12" spans="1:12" ht="25" customHeight="1" x14ac:dyDescent="0.3">
      <c r="A12" s="93"/>
      <c r="B12" s="20" t="s">
        <v>39</v>
      </c>
      <c r="C12" s="11">
        <v>0</v>
      </c>
      <c r="D12" s="12" t="s">
        <v>41</v>
      </c>
      <c r="E12" s="12"/>
      <c r="F12" s="29"/>
      <c r="G12" s="67"/>
      <c r="H12" s="29"/>
      <c r="I12" s="31"/>
      <c r="K12" s="65"/>
      <c r="L12" s="65"/>
    </row>
    <row r="13" spans="1:12" ht="25" customHeight="1" x14ac:dyDescent="0.3">
      <c r="A13" s="93"/>
      <c r="B13" s="20" t="s">
        <v>43</v>
      </c>
      <c r="C13" s="11">
        <v>0</v>
      </c>
      <c r="D13" s="12">
        <v>1</v>
      </c>
      <c r="E13" s="12">
        <v>0</v>
      </c>
      <c r="F13" s="29">
        <v>38</v>
      </c>
      <c r="G13" s="30">
        <f t="shared" si="0"/>
        <v>2.6315789473684209E-2</v>
      </c>
      <c r="H13" s="29">
        <v>2800</v>
      </c>
      <c r="I13" s="31">
        <f t="shared" si="1"/>
        <v>73.68421052631578</v>
      </c>
      <c r="K13" s="66"/>
      <c r="L13" s="66"/>
    </row>
    <row r="14" spans="1:12" ht="25" customHeight="1" x14ac:dyDescent="0.3">
      <c r="A14" s="94"/>
      <c r="B14" s="20" t="s">
        <v>18</v>
      </c>
      <c r="C14" s="11">
        <v>0</v>
      </c>
      <c r="D14" s="12">
        <v>10</v>
      </c>
      <c r="E14" s="12">
        <v>10</v>
      </c>
      <c r="F14" s="29">
        <v>31</v>
      </c>
      <c r="G14" s="30">
        <f t="shared" si="0"/>
        <v>0.32258064516129031</v>
      </c>
      <c r="H14" s="29">
        <v>230</v>
      </c>
      <c r="I14" s="31">
        <f t="shared" si="1"/>
        <v>0</v>
      </c>
    </row>
    <row r="15" spans="1:12" s="39" customFormat="1" ht="5" customHeight="1" x14ac:dyDescent="0.3">
      <c r="A15" s="49"/>
      <c r="B15" s="20"/>
      <c r="C15" s="50"/>
      <c r="D15" s="51"/>
      <c r="E15" s="51"/>
      <c r="F15" s="52"/>
      <c r="G15" s="53"/>
      <c r="H15" s="52"/>
      <c r="I15" s="54"/>
    </row>
    <row r="16" spans="1:12" ht="25" customHeight="1" x14ac:dyDescent="0.3">
      <c r="A16" s="96" t="s">
        <v>19</v>
      </c>
      <c r="B16" s="56" t="s">
        <v>36</v>
      </c>
      <c r="C16" s="11">
        <v>0</v>
      </c>
      <c r="D16" s="12">
        <v>3</v>
      </c>
      <c r="E16" s="12">
        <v>1</v>
      </c>
      <c r="F16" s="29">
        <v>10</v>
      </c>
      <c r="G16" s="30">
        <f t="shared" si="0"/>
        <v>0.3</v>
      </c>
      <c r="H16" s="29">
        <v>550</v>
      </c>
      <c r="I16" s="31">
        <f t="shared" si="1"/>
        <v>110</v>
      </c>
    </row>
    <row r="17" spans="1:11" ht="25" customHeight="1" x14ac:dyDescent="0.3">
      <c r="A17" s="97"/>
      <c r="B17" s="21" t="s">
        <v>26</v>
      </c>
      <c r="C17" s="11">
        <v>91</v>
      </c>
      <c r="D17" s="12">
        <v>91</v>
      </c>
      <c r="E17" s="12">
        <v>91</v>
      </c>
      <c r="F17" s="29">
        <v>107</v>
      </c>
      <c r="G17" s="30">
        <f t="shared" si="0"/>
        <v>0</v>
      </c>
      <c r="H17" s="29">
        <v>500</v>
      </c>
      <c r="I17" s="31">
        <f t="shared" si="1"/>
        <v>0</v>
      </c>
    </row>
    <row r="18" spans="1:11" ht="25" customHeight="1" x14ac:dyDescent="0.3">
      <c r="A18" s="98"/>
      <c r="B18" s="21" t="s">
        <v>33</v>
      </c>
      <c r="C18" s="11">
        <v>0</v>
      </c>
      <c r="D18" s="12">
        <v>0</v>
      </c>
      <c r="E18" s="12">
        <v>0</v>
      </c>
      <c r="F18" s="29">
        <v>28</v>
      </c>
      <c r="G18" s="30">
        <f t="shared" si="0"/>
        <v>0</v>
      </c>
      <c r="H18" s="29">
        <v>2700</v>
      </c>
      <c r="I18" s="31">
        <f t="shared" si="1"/>
        <v>0</v>
      </c>
    </row>
    <row r="19" spans="1:11" s="39" customFormat="1" ht="5" customHeight="1" x14ac:dyDescent="0.3">
      <c r="A19" s="49"/>
      <c r="B19" s="21"/>
      <c r="C19" s="50"/>
      <c r="D19" s="51"/>
      <c r="E19" s="51"/>
      <c r="F19" s="52"/>
      <c r="G19" s="53"/>
      <c r="H19" s="52"/>
      <c r="I19" s="54"/>
    </row>
    <row r="20" spans="1:11" ht="25" customHeight="1" x14ac:dyDescent="0.3">
      <c r="A20" s="79" t="s">
        <v>22</v>
      </c>
      <c r="B20" s="57" t="s">
        <v>32</v>
      </c>
      <c r="C20" s="11">
        <v>0</v>
      </c>
      <c r="D20" s="12">
        <v>4.0999999999999996</v>
      </c>
      <c r="E20" s="12">
        <v>4.0999999999999996</v>
      </c>
      <c r="F20" s="29">
        <v>28</v>
      </c>
      <c r="G20" s="30">
        <f t="shared" si="0"/>
        <v>0.14642857142857141</v>
      </c>
      <c r="H20" s="29">
        <v>2500</v>
      </c>
      <c r="I20" s="31">
        <f t="shared" si="1"/>
        <v>0</v>
      </c>
    </row>
    <row r="21" spans="1:11" ht="25" customHeight="1" x14ac:dyDescent="0.3">
      <c r="A21" s="80"/>
      <c r="B21" s="22" t="s">
        <v>37</v>
      </c>
      <c r="C21" s="11">
        <v>0</v>
      </c>
      <c r="D21" s="12">
        <v>2</v>
      </c>
      <c r="E21" s="12">
        <v>1</v>
      </c>
      <c r="F21" s="29">
        <v>10</v>
      </c>
      <c r="G21" s="30">
        <f t="shared" si="0"/>
        <v>0.2</v>
      </c>
      <c r="H21" s="29">
        <v>450</v>
      </c>
      <c r="I21" s="31">
        <f t="shared" si="1"/>
        <v>45</v>
      </c>
    </row>
    <row r="22" spans="1:11" s="39" customFormat="1" ht="5" customHeight="1" x14ac:dyDescent="0.3">
      <c r="A22" s="49"/>
      <c r="B22" s="22"/>
      <c r="C22" s="50"/>
      <c r="D22" s="51"/>
      <c r="E22" s="51"/>
      <c r="F22" s="52"/>
      <c r="G22" s="53"/>
      <c r="H22" s="52"/>
      <c r="I22" s="54"/>
    </row>
    <row r="23" spans="1:11" ht="25" customHeight="1" x14ac:dyDescent="0.3">
      <c r="A23" s="81" t="s">
        <v>24</v>
      </c>
      <c r="B23" s="58" t="s">
        <v>34</v>
      </c>
      <c r="C23" s="11">
        <v>72</v>
      </c>
      <c r="D23" s="12">
        <v>72</v>
      </c>
      <c r="E23" s="12">
        <v>72</v>
      </c>
      <c r="F23" s="29">
        <v>103</v>
      </c>
      <c r="G23" s="30">
        <f t="shared" si="0"/>
        <v>0</v>
      </c>
      <c r="H23" s="29">
        <v>630</v>
      </c>
      <c r="I23" s="31">
        <f t="shared" si="1"/>
        <v>0</v>
      </c>
      <c r="K23" s="68"/>
    </row>
    <row r="24" spans="1:11" ht="25" customHeight="1" x14ac:dyDescent="0.3">
      <c r="A24" s="82"/>
      <c r="B24" s="23" t="s">
        <v>38</v>
      </c>
      <c r="C24" s="11">
        <v>0</v>
      </c>
      <c r="D24" s="12">
        <v>2</v>
      </c>
      <c r="E24" s="12">
        <v>2</v>
      </c>
      <c r="F24" s="29">
        <v>10</v>
      </c>
      <c r="G24" s="30">
        <f t="shared" si="0"/>
        <v>0.2</v>
      </c>
      <c r="H24" s="29">
        <v>450</v>
      </c>
      <c r="I24" s="31">
        <f t="shared" si="1"/>
        <v>0</v>
      </c>
    </row>
    <row r="25" spans="1:11" ht="25" customHeight="1" x14ac:dyDescent="0.3">
      <c r="A25" s="83"/>
      <c r="B25" s="23" t="s">
        <v>40</v>
      </c>
      <c r="C25" s="13">
        <v>0</v>
      </c>
      <c r="D25" s="14">
        <v>0</v>
      </c>
      <c r="E25" s="14">
        <v>0</v>
      </c>
      <c r="F25" s="32">
        <v>28</v>
      </c>
      <c r="G25" s="33">
        <f t="shared" si="0"/>
        <v>0</v>
      </c>
      <c r="H25" s="32">
        <v>2300</v>
      </c>
      <c r="I25" s="34">
        <f t="shared" si="1"/>
        <v>0</v>
      </c>
    </row>
    <row r="26" spans="1:11" s="39" customFormat="1" ht="5" customHeight="1" x14ac:dyDescent="0.3">
      <c r="A26" s="42"/>
      <c r="B26" s="24"/>
      <c r="C26" s="44"/>
      <c r="D26" s="45"/>
      <c r="E26" s="45"/>
      <c r="F26" s="46"/>
      <c r="G26" s="47"/>
      <c r="H26" s="46"/>
      <c r="I26" s="48"/>
    </row>
    <row r="27" spans="1:11" ht="20" x14ac:dyDescent="0.3">
      <c r="B27" s="43"/>
    </row>
  </sheetData>
  <mergeCells count="8">
    <mergeCell ref="A20:A21"/>
    <mergeCell ref="A23:A25"/>
    <mergeCell ref="K2:L3"/>
    <mergeCell ref="A3:A5"/>
    <mergeCell ref="A7:A8"/>
    <mergeCell ref="A10:A14"/>
    <mergeCell ref="K10:L10"/>
    <mergeCell ref="A16:A18"/>
  </mergeCells>
  <phoneticPr fontId="1" type="noConversion"/>
  <conditionalFormatting sqref="G3:G5 G7:G26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{F2C7290A-30E0-492D-A3C2-A90A93D5DAF9}</x14:id>
        </ext>
      </extLst>
    </cfRule>
  </conditionalFormatting>
  <conditionalFormatting sqref="G16:G19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{8DCCDFC5-613F-4E79-B5ED-39962903C29C}</x14:id>
        </ext>
      </extLst>
    </cfRule>
  </conditionalFormatting>
  <conditionalFormatting sqref="G20:G22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{1A10DECD-A191-4B1A-BF11-18FA744616C5}</x14:id>
        </ext>
      </extLst>
    </cfRule>
  </conditionalFormatting>
  <conditionalFormatting sqref="G23:G26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{15139A63-494F-4A92-9939-2B7CC1EF036C}</x14:id>
        </ext>
      </extLst>
    </cfRule>
  </conditionalFormatting>
  <conditionalFormatting sqref="G7:G8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{694ECCA8-27A3-4876-8460-0B05BB79415D}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{C0744EAF-62B9-4026-90B1-CFA3A1855B07}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{7BD6FA9C-4C0D-4BEE-A852-D2A75733DEDE}</x14:id>
        </ext>
      </extLst>
    </cfRule>
  </conditionalFormatting>
  <conditionalFormatting sqref="G10:G14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{2C99F8AC-73FB-43B5-95C5-A4432AF00FCE}</x14:id>
        </ext>
      </extLst>
    </cfRule>
  </conditionalFormatting>
  <pageMargins left="0.7" right="0.7" top="0.75" bottom="0.75" header="0.3" footer="0.3"/>
  <pageSetup paperSize="9" scale="58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2C7290A-30E0-492D-A3C2-A90A93D5DA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G3:G5 G7:G26</xm:sqref>
        </x14:conditionalFormatting>
        <x14:conditionalFormatting xmlns:xm="http://schemas.microsoft.com/office/excel/2006/main">
          <x14:cfRule type="dataBar" id="{8DCCDFC5-613F-4E79-B5ED-39962903C2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G16:G19</xm:sqref>
        </x14:conditionalFormatting>
        <x14:conditionalFormatting xmlns:xm="http://schemas.microsoft.com/office/excel/2006/main">
          <x14:cfRule type="dataBar" id="{1A10DECD-A191-4B1A-BF11-18FA744616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G20:G22</xm:sqref>
        </x14:conditionalFormatting>
        <x14:conditionalFormatting xmlns:xm="http://schemas.microsoft.com/office/excel/2006/main">
          <x14:cfRule type="dataBar" id="{15139A63-494F-4A92-9939-2B7CC1EF03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G23:G26</xm:sqref>
        </x14:conditionalFormatting>
        <x14:conditionalFormatting xmlns:xm="http://schemas.microsoft.com/office/excel/2006/main">
          <x14:cfRule type="dataBar" id="{694ECCA8-27A3-4876-8460-0B05BB7941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C0744EAF-62B9-4026-90B1-CFA3A1855B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6FA9C-4C0D-4BEE-A852-D2A75733DE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G7:G8</xm:sqref>
        </x14:conditionalFormatting>
        <x14:conditionalFormatting xmlns:xm="http://schemas.microsoft.com/office/excel/2006/main">
          <x14:cfRule type="dataBar" id="{2C99F8AC-73FB-43B5-95C5-A4432AF00F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FB849-238A-456B-9122-728B64B0C2C7}">
  <sheetPr codeName="Sheet2">
    <pageSetUpPr fitToPage="1"/>
  </sheetPr>
  <dimension ref="A1:L23"/>
  <sheetViews>
    <sheetView zoomScaleNormal="100" workbookViewId="0">
      <selection sqref="A1:A1048576"/>
    </sheetView>
  </sheetViews>
  <sheetFormatPr defaultRowHeight="14" x14ac:dyDescent="0.3"/>
  <cols>
    <col min="1" max="1" width="9.58203125" customWidth="1"/>
    <col min="2" max="2" width="27.6640625" customWidth="1"/>
    <col min="3" max="3" width="9.75" style="2" hidden="1" customWidth="1"/>
    <col min="4" max="4" width="9.58203125" customWidth="1"/>
    <col min="5" max="5" width="11.58203125" hidden="1" customWidth="1"/>
    <col min="6" max="6" width="11.1640625" style="2" hidden="1" customWidth="1"/>
    <col min="7" max="7" width="121.33203125" customWidth="1"/>
    <col min="8" max="8" width="9.58203125" style="2" hidden="1" customWidth="1"/>
    <col min="9" max="9" width="11.33203125" customWidth="1"/>
    <col min="10" max="10" width="11.58203125" customWidth="1"/>
    <col min="11" max="12" width="9.5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84">
        <f>SUM(I3:I34)</f>
        <v>497.68713813068649</v>
      </c>
      <c r="L2" s="102"/>
    </row>
    <row r="3" spans="1:12" ht="25" customHeight="1" x14ac:dyDescent="0.3">
      <c r="A3" s="99" t="s">
        <v>7</v>
      </c>
      <c r="B3" s="18" t="s">
        <v>13</v>
      </c>
      <c r="C3" s="11">
        <v>0</v>
      </c>
      <c r="D3" s="12">
        <v>0.8</v>
      </c>
      <c r="E3" s="12">
        <v>0</v>
      </c>
      <c r="F3" s="29">
        <v>13</v>
      </c>
      <c r="G3" s="30">
        <f>(D3-C3)/(F3-C3)</f>
        <v>6.1538461538461542E-2</v>
      </c>
      <c r="H3" s="29">
        <v>700</v>
      </c>
      <c r="I3" s="31">
        <f>((D3-E3)/F3)*H3</f>
        <v>43.07692307692308</v>
      </c>
      <c r="K3" s="102"/>
      <c r="L3" s="102"/>
    </row>
    <row r="4" spans="1:12" ht="25" customHeight="1" x14ac:dyDescent="0.3">
      <c r="A4" s="100"/>
      <c r="B4" s="18" t="s">
        <v>31</v>
      </c>
      <c r="C4" s="11">
        <v>0</v>
      </c>
      <c r="D4" s="60">
        <v>3</v>
      </c>
      <c r="E4" s="60">
        <v>3</v>
      </c>
      <c r="F4" s="59">
        <v>65</v>
      </c>
      <c r="G4" s="30">
        <f t="shared" ref="G4:G22" si="0">(D4-C4)/(F4-C4)</f>
        <v>4.6153846153846156E-2</v>
      </c>
      <c r="H4" s="29">
        <v>1500</v>
      </c>
      <c r="I4" s="31">
        <f t="shared" ref="I4:I22" si="1">((D4-E4)/F4)*H4</f>
        <v>0</v>
      </c>
    </row>
    <row r="5" spans="1:12" ht="25" customHeight="1" x14ac:dyDescent="0.3">
      <c r="A5" s="101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44746</v>
      </c>
      <c r="L5" s="7">
        <v>0.8652777777777777</v>
      </c>
    </row>
    <row r="6" spans="1:12" s="39" customFormat="1" ht="5" customHeight="1" x14ac:dyDescent="0.3">
      <c r="A6" s="62"/>
      <c r="B6" s="63"/>
      <c r="C6" s="63"/>
      <c r="D6" s="63"/>
      <c r="E6" s="63"/>
      <c r="F6" s="63"/>
      <c r="G6" s="64"/>
      <c r="H6" s="52"/>
      <c r="I6" s="54"/>
      <c r="J6" s="36"/>
      <c r="K6" s="37"/>
      <c r="L6" s="38"/>
    </row>
    <row r="7" spans="1:12" ht="25" customHeight="1" x14ac:dyDescent="0.3">
      <c r="A7" s="89" t="s">
        <v>8</v>
      </c>
      <c r="B7" s="19" t="s">
        <v>15</v>
      </c>
      <c r="C7" s="11">
        <v>0</v>
      </c>
      <c r="D7" s="12">
        <v>2.7</v>
      </c>
      <c r="E7" s="12">
        <v>0</v>
      </c>
      <c r="F7" s="29">
        <v>8</v>
      </c>
      <c r="G7" s="30">
        <f t="shared" si="0"/>
        <v>0.33750000000000002</v>
      </c>
      <c r="H7" s="29">
        <v>500</v>
      </c>
      <c r="I7" s="31">
        <f t="shared" si="1"/>
        <v>168.75</v>
      </c>
    </row>
    <row r="8" spans="1:12" ht="25" customHeight="1" x14ac:dyDescent="0.3">
      <c r="A8" s="91"/>
      <c r="B8" s="19" t="s">
        <v>16</v>
      </c>
      <c r="C8" s="11">
        <v>0</v>
      </c>
      <c r="D8" s="12">
        <v>0</v>
      </c>
      <c r="E8" s="12">
        <v>0</v>
      </c>
      <c r="F8" s="29">
        <v>38</v>
      </c>
      <c r="G8" s="30">
        <f t="shared" si="0"/>
        <v>0</v>
      </c>
      <c r="H8" s="29">
        <v>6000</v>
      </c>
      <c r="I8" s="31">
        <f t="shared" si="1"/>
        <v>0</v>
      </c>
      <c r="J8" s="1" t="s">
        <v>30</v>
      </c>
      <c r="K8" s="9"/>
      <c r="L8" s="61"/>
    </row>
    <row r="9" spans="1:12" s="39" customFormat="1" ht="5" customHeight="1" x14ac:dyDescent="0.3">
      <c r="A9" s="49"/>
      <c r="B9" s="55"/>
      <c r="C9" s="50"/>
      <c r="D9" s="51"/>
      <c r="E9" s="51"/>
      <c r="F9" s="52"/>
      <c r="G9" s="53"/>
      <c r="H9" s="52"/>
      <c r="I9" s="54"/>
      <c r="J9" s="36"/>
      <c r="K9" s="40"/>
      <c r="L9" s="41"/>
    </row>
    <row r="10" spans="1:12" ht="25" customHeight="1" x14ac:dyDescent="0.3">
      <c r="A10" s="92" t="s">
        <v>9</v>
      </c>
      <c r="B10" s="20" t="s">
        <v>17</v>
      </c>
      <c r="C10" s="11">
        <v>0</v>
      </c>
      <c r="D10" s="12">
        <v>2</v>
      </c>
      <c r="E10" s="12">
        <v>0</v>
      </c>
      <c r="F10" s="29">
        <v>12</v>
      </c>
      <c r="G10" s="30">
        <f t="shared" si="0"/>
        <v>0.16666666666666666</v>
      </c>
      <c r="H10" s="29">
        <v>400</v>
      </c>
      <c r="I10" s="31">
        <f t="shared" si="1"/>
        <v>66.666666666666657</v>
      </c>
      <c r="K10" s="95"/>
      <c r="L10" s="95"/>
    </row>
    <row r="11" spans="1:12" ht="25" customHeight="1" x14ac:dyDescent="0.3">
      <c r="A11" s="94"/>
      <c r="B11" s="20" t="s">
        <v>18</v>
      </c>
      <c r="C11" s="11">
        <v>0</v>
      </c>
      <c r="D11" s="12">
        <v>10</v>
      </c>
      <c r="E11" s="12">
        <v>0</v>
      </c>
      <c r="F11" s="29">
        <v>31</v>
      </c>
      <c r="G11" s="30">
        <f t="shared" si="0"/>
        <v>0.32258064516129031</v>
      </c>
      <c r="H11" s="29">
        <v>230</v>
      </c>
      <c r="I11" s="31">
        <f t="shared" si="1"/>
        <v>74.193548387096769</v>
      </c>
    </row>
    <row r="12" spans="1:12" s="39" customFormat="1" ht="5" customHeight="1" x14ac:dyDescent="0.3">
      <c r="A12" s="49"/>
      <c r="B12" s="56"/>
      <c r="C12" s="50"/>
      <c r="D12" s="51"/>
      <c r="E12" s="51"/>
      <c r="F12" s="52"/>
      <c r="G12" s="53"/>
      <c r="H12" s="52"/>
      <c r="I12" s="54"/>
    </row>
    <row r="13" spans="1:12" ht="25" customHeight="1" x14ac:dyDescent="0.3">
      <c r="A13" s="96" t="s">
        <v>19</v>
      </c>
      <c r="B13" s="21" t="s">
        <v>36</v>
      </c>
      <c r="C13" s="11">
        <v>0</v>
      </c>
      <c r="D13" s="12">
        <v>1</v>
      </c>
      <c r="E13" s="12">
        <v>0</v>
      </c>
      <c r="F13" s="29">
        <v>10</v>
      </c>
      <c r="G13" s="30">
        <f t="shared" si="0"/>
        <v>0.1</v>
      </c>
      <c r="H13" s="29">
        <v>550</v>
      </c>
      <c r="I13" s="31">
        <f t="shared" si="1"/>
        <v>55</v>
      </c>
    </row>
    <row r="14" spans="1:12" ht="25" customHeight="1" x14ac:dyDescent="0.3">
      <c r="A14" s="97"/>
      <c r="B14" s="21" t="s">
        <v>26</v>
      </c>
      <c r="C14" s="11">
        <v>91</v>
      </c>
      <c r="D14" s="12">
        <v>91</v>
      </c>
      <c r="E14" s="12">
        <v>91</v>
      </c>
      <c r="F14" s="29">
        <v>107</v>
      </c>
      <c r="G14" s="30">
        <f t="shared" si="0"/>
        <v>0</v>
      </c>
      <c r="H14" s="29">
        <v>500</v>
      </c>
      <c r="I14" s="31">
        <f t="shared" si="1"/>
        <v>0</v>
      </c>
    </row>
    <row r="15" spans="1:12" ht="25" customHeight="1" x14ac:dyDescent="0.3">
      <c r="A15" s="98"/>
      <c r="B15" s="21" t="s">
        <v>33</v>
      </c>
      <c r="C15" s="11">
        <v>0</v>
      </c>
      <c r="D15" s="12">
        <v>0</v>
      </c>
      <c r="E15" s="12">
        <v>0</v>
      </c>
      <c r="F15" s="29">
        <v>28</v>
      </c>
      <c r="G15" s="30">
        <f t="shared" si="0"/>
        <v>0</v>
      </c>
      <c r="H15" s="29">
        <v>2700</v>
      </c>
      <c r="I15" s="31">
        <f t="shared" si="1"/>
        <v>0</v>
      </c>
    </row>
    <row r="16" spans="1:12" s="39" customFormat="1" ht="5" customHeight="1" x14ac:dyDescent="0.3">
      <c r="A16" s="49"/>
      <c r="B16" s="57"/>
      <c r="C16" s="50"/>
      <c r="D16" s="51"/>
      <c r="E16" s="51"/>
      <c r="F16" s="52"/>
      <c r="G16" s="53"/>
      <c r="H16" s="52"/>
      <c r="I16" s="54"/>
    </row>
    <row r="17" spans="1:9" ht="25" customHeight="1" x14ac:dyDescent="0.3">
      <c r="A17" s="79" t="s">
        <v>22</v>
      </c>
      <c r="B17" s="22" t="s">
        <v>32</v>
      </c>
      <c r="C17" s="11">
        <v>0</v>
      </c>
      <c r="D17" s="12">
        <v>4.0999999999999996</v>
      </c>
      <c r="E17" s="12">
        <v>4.0999999999999996</v>
      </c>
      <c r="F17" s="29">
        <v>28</v>
      </c>
      <c r="G17" s="30">
        <f t="shared" si="0"/>
        <v>0.14642857142857141</v>
      </c>
      <c r="H17" s="29">
        <v>2500</v>
      </c>
      <c r="I17" s="31">
        <f t="shared" si="1"/>
        <v>0</v>
      </c>
    </row>
    <row r="18" spans="1:9" ht="25" customHeight="1" x14ac:dyDescent="0.3">
      <c r="A18" s="80"/>
      <c r="B18" s="22" t="s">
        <v>37</v>
      </c>
      <c r="C18" s="11">
        <v>0</v>
      </c>
      <c r="D18" s="12">
        <v>1</v>
      </c>
      <c r="E18" s="12">
        <v>1</v>
      </c>
      <c r="F18" s="29">
        <v>10</v>
      </c>
      <c r="G18" s="30">
        <f t="shared" si="0"/>
        <v>0.1</v>
      </c>
      <c r="H18" s="29">
        <v>450</v>
      </c>
      <c r="I18" s="31">
        <f t="shared" si="1"/>
        <v>0</v>
      </c>
    </row>
    <row r="19" spans="1:9" s="39" customFormat="1" ht="5" customHeight="1" x14ac:dyDescent="0.3">
      <c r="A19" s="49"/>
      <c r="B19" s="58"/>
      <c r="C19" s="50"/>
      <c r="D19" s="51"/>
      <c r="E19" s="51"/>
      <c r="F19" s="52"/>
      <c r="G19" s="53"/>
      <c r="H19" s="52"/>
      <c r="I19" s="54"/>
    </row>
    <row r="20" spans="1:9" ht="25" customHeight="1" x14ac:dyDescent="0.3">
      <c r="A20" s="81" t="s">
        <v>24</v>
      </c>
      <c r="B20" s="23" t="s">
        <v>34</v>
      </c>
      <c r="C20" s="11">
        <v>72</v>
      </c>
      <c r="D20" s="12">
        <v>72</v>
      </c>
      <c r="E20" s="12">
        <v>72</v>
      </c>
      <c r="F20" s="29">
        <v>103</v>
      </c>
      <c r="G20" s="30">
        <f t="shared" si="0"/>
        <v>0</v>
      </c>
      <c r="H20" s="29">
        <v>630</v>
      </c>
      <c r="I20" s="31">
        <f t="shared" si="1"/>
        <v>0</v>
      </c>
    </row>
    <row r="21" spans="1:9" ht="25" customHeight="1" x14ac:dyDescent="0.3">
      <c r="A21" s="82"/>
      <c r="B21" s="23" t="s">
        <v>38</v>
      </c>
      <c r="C21" s="11">
        <v>0</v>
      </c>
      <c r="D21" s="12">
        <v>2</v>
      </c>
      <c r="E21" s="12">
        <v>0</v>
      </c>
      <c r="F21" s="29">
        <v>10</v>
      </c>
      <c r="G21" s="30">
        <f t="shared" si="0"/>
        <v>0.2</v>
      </c>
      <c r="H21" s="29">
        <v>450</v>
      </c>
      <c r="I21" s="31">
        <f t="shared" si="1"/>
        <v>90</v>
      </c>
    </row>
    <row r="22" spans="1:9" ht="25" customHeight="1" x14ac:dyDescent="0.3">
      <c r="A22" s="83"/>
      <c r="B22" s="24" t="s">
        <v>35</v>
      </c>
      <c r="C22" s="13">
        <v>0</v>
      </c>
      <c r="D22" s="14">
        <v>0</v>
      </c>
      <c r="E22" s="14">
        <v>0</v>
      </c>
      <c r="F22" s="32">
        <v>28</v>
      </c>
      <c r="G22" s="33">
        <f t="shared" si="0"/>
        <v>0</v>
      </c>
      <c r="H22" s="32">
        <v>2300</v>
      </c>
      <c r="I22" s="34">
        <f t="shared" si="1"/>
        <v>0</v>
      </c>
    </row>
    <row r="23" spans="1:9" s="39" customFormat="1" ht="5" customHeight="1" x14ac:dyDescent="0.3">
      <c r="A23" s="42"/>
      <c r="B23" s="43"/>
      <c r="C23" s="44"/>
      <c r="D23" s="45"/>
      <c r="E23" s="45"/>
      <c r="F23" s="46"/>
      <c r="G23" s="47"/>
      <c r="H23" s="46"/>
      <c r="I23" s="48"/>
    </row>
  </sheetData>
  <mergeCells count="8">
    <mergeCell ref="A17:A18"/>
    <mergeCell ref="A20:A22"/>
    <mergeCell ref="K2:L3"/>
    <mergeCell ref="A3:A5"/>
    <mergeCell ref="A7:A8"/>
    <mergeCell ref="A10:A11"/>
    <mergeCell ref="K10:L10"/>
    <mergeCell ref="A13:A15"/>
  </mergeCells>
  <phoneticPr fontId="1" type="noConversion"/>
  <conditionalFormatting sqref="G3:G5 G7:G23">
    <cfRule type="dataBar" priority="8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{8939DDEE-A4A0-452B-8513-53CE743513FE}</x14:id>
        </ext>
      </extLst>
    </cfRule>
  </conditionalFormatting>
  <conditionalFormatting sqref="G13:G16">
    <cfRule type="dataBar" priority="7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{11640BB5-16A1-41C8-9345-A98ECA89840D}</x14:id>
        </ext>
      </extLst>
    </cfRule>
  </conditionalFormatting>
  <conditionalFormatting sqref="G17:G19">
    <cfRule type="dataBar" priority="6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{C26FE49B-A185-479E-9676-76B732F798E8}</x14:id>
        </ext>
      </extLst>
    </cfRule>
  </conditionalFormatting>
  <conditionalFormatting sqref="G20:G23">
    <cfRule type="dataBar" priority="5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{2C858588-4B6F-4EF9-8C67-61C56111CA98}</x14:id>
        </ext>
      </extLst>
    </cfRule>
  </conditionalFormatting>
  <conditionalFormatting sqref="G7:G8">
    <cfRule type="dataBar" priority="2">
      <dataBar>
        <cfvo type="num" val="0"/>
        <cfvo type="num" val="1"/>
        <color theme="8" tint="0.79998168889431442"/>
      </dataBar>
      <extLst>
        <ext xmlns:x14="http://schemas.microsoft.com/office/spreadsheetml/2009/9/main" uri="{B025F937-C7B1-47D3-B67F-A62EFF666E3E}">
          <x14:id>{B4F23F6E-EB52-4E76-B3F5-D5BE66E619FD}</x14:id>
        </ext>
      </extLst>
    </cfRule>
    <cfRule type="dataBar" priority="3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{F12DD3AA-4300-4412-856E-79574F805492}</x14:id>
        </ext>
      </extLst>
    </cfRule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{184EE872-7E55-4A01-9417-FA1E68ABCF68}</x14:id>
        </ext>
      </extLst>
    </cfRule>
  </conditionalFormatting>
  <conditionalFormatting sqref="G10:G11">
    <cfRule type="dataBar" priority="1">
      <dataBar>
        <cfvo type="num" val="0"/>
        <cfvo type="num" val="1"/>
        <color theme="9" tint="0.79998168889431442"/>
      </dataBar>
      <extLst>
        <ext xmlns:x14="http://schemas.microsoft.com/office/spreadsheetml/2009/9/main" uri="{B025F937-C7B1-47D3-B67F-A62EFF666E3E}">
          <x14:id>{E146BF67-4AE0-4D22-B6A2-A35392414677}</x14:id>
        </ext>
      </extLst>
    </cfRule>
  </conditionalFormatting>
  <pageMargins left="0.7" right="0.7" top="0.75" bottom="0.75" header="0.3" footer="0.3"/>
  <pageSetup paperSize="9" scale="58" orientation="landscape" verticalDpi="0" r:id="rId1"/>
  <drawing r:id="rId2"/>
  <webPublishItems count="1">
    <webPublishItem id="12012" divId="暑假任务跟踪表_12012" sourceType="sheet" destinationFile="C:\Users\Kyle Mao\Desktop\暑假任务跟踪表.htm" title="Summer Holiday"/>
  </webPublishItem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39DDEE-A4A0-452B-8513-53CE743513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G3:G5 G7:G23</xm:sqref>
        </x14:conditionalFormatting>
        <x14:conditionalFormatting xmlns:xm="http://schemas.microsoft.com/office/excel/2006/main">
          <x14:cfRule type="dataBar" id="{11640BB5-16A1-41C8-9345-A98ECA89840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G13:G16</xm:sqref>
        </x14:conditionalFormatting>
        <x14:conditionalFormatting xmlns:xm="http://schemas.microsoft.com/office/excel/2006/main">
          <x14:cfRule type="dataBar" id="{C26FE49B-A185-479E-9676-76B732F798E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G17:G19</xm:sqref>
        </x14:conditionalFormatting>
        <x14:conditionalFormatting xmlns:xm="http://schemas.microsoft.com/office/excel/2006/main">
          <x14:cfRule type="dataBar" id="{2C858588-4B6F-4EF9-8C67-61C56111CA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G20:G23</xm:sqref>
        </x14:conditionalFormatting>
        <x14:conditionalFormatting xmlns:xm="http://schemas.microsoft.com/office/excel/2006/main">
          <x14:cfRule type="dataBar" id="{B4F23F6E-EB52-4E76-B3F5-D5BE66E619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F12DD3AA-4300-4412-856E-79574F8054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84EE872-7E55-4A01-9417-FA1E68ABCF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G7:G8</xm:sqref>
        </x14:conditionalFormatting>
        <x14:conditionalFormatting xmlns:xm="http://schemas.microsoft.com/office/excel/2006/main">
          <x14:cfRule type="dataBar" id="{E146BF67-4AE0-4D22-B6A2-A353924146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G10:G11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2D37-9BE6-4617-9F0D-C4747042C15E}">
  <sheetPr codeName="Sheet1">
    <pageSetUpPr fitToPage="1"/>
  </sheetPr>
  <dimension ref="A1:L23"/>
  <sheetViews>
    <sheetView zoomScaleNormal="100" workbookViewId="0">
      <selection activeCell="B26" sqref="B26"/>
    </sheetView>
  </sheetViews>
  <sheetFormatPr defaultRowHeight="14" x14ac:dyDescent="0.3"/>
  <cols>
    <col min="1" max="1" width="9.58203125" customWidth="1"/>
    <col min="2" max="2" width="27.6640625" customWidth="1"/>
    <col min="3" max="3" width="9.75" style="2" hidden="1" customWidth="1"/>
    <col min="4" max="4" width="9.58203125" customWidth="1"/>
    <col min="5" max="5" width="11.58203125" hidden="1" customWidth="1"/>
    <col min="6" max="6" width="11.1640625" style="2" hidden="1" customWidth="1"/>
    <col min="7" max="7" width="121.33203125" customWidth="1"/>
    <col min="8" max="8" width="9.58203125" style="2" hidden="1" customWidth="1"/>
    <col min="9" max="9" width="11.33203125" customWidth="1"/>
    <col min="10" max="10" width="11.58203125" customWidth="1"/>
    <col min="11" max="12" width="9.58203125" customWidth="1"/>
  </cols>
  <sheetData>
    <row r="1" spans="1:12" ht="32" customHeight="1" x14ac:dyDescent="0.3">
      <c r="A1" s="5"/>
      <c r="B1" s="3" t="s">
        <v>28</v>
      </c>
      <c r="C1" s="4"/>
      <c r="D1" s="5"/>
      <c r="E1" s="5"/>
      <c r="F1" s="4"/>
      <c r="G1" s="5"/>
      <c r="H1" s="16"/>
      <c r="I1" s="15"/>
    </row>
    <row r="2" spans="1:12" ht="26" customHeight="1" x14ac:dyDescent="0.3">
      <c r="A2" s="35" t="s">
        <v>0</v>
      </c>
      <c r="B2" s="25" t="s">
        <v>1</v>
      </c>
      <c r="C2" s="26" t="s">
        <v>4</v>
      </c>
      <c r="D2" s="17" t="s">
        <v>2</v>
      </c>
      <c r="E2" s="28" t="s">
        <v>10</v>
      </c>
      <c r="F2" s="28" t="s">
        <v>5</v>
      </c>
      <c r="G2" s="17" t="s">
        <v>6</v>
      </c>
      <c r="H2" s="26" t="s">
        <v>3</v>
      </c>
      <c r="I2" s="27" t="s">
        <v>11</v>
      </c>
      <c r="J2" s="8" t="s">
        <v>12</v>
      </c>
      <c r="K2" s="84">
        <f>SUM(I3:I34)</f>
        <v>56.25</v>
      </c>
      <c r="L2" s="102"/>
    </row>
    <row r="3" spans="1:12" ht="25" customHeight="1" x14ac:dyDescent="0.3">
      <c r="A3" s="105" t="s">
        <v>7</v>
      </c>
      <c r="B3" s="18" t="s">
        <v>13</v>
      </c>
      <c r="C3" s="11">
        <v>0</v>
      </c>
      <c r="D3" s="12">
        <v>0</v>
      </c>
      <c r="E3" s="12">
        <v>0</v>
      </c>
      <c r="F3" s="29">
        <v>13</v>
      </c>
      <c r="G3" s="30">
        <f>(D3-C3)/(F3-C3)</f>
        <v>0</v>
      </c>
      <c r="H3" s="29">
        <v>700</v>
      </c>
      <c r="I3" s="31">
        <f>((D3-E3)/F3)*H3</f>
        <v>0</v>
      </c>
      <c r="K3" s="102"/>
      <c r="L3" s="102"/>
    </row>
    <row r="4" spans="1:12" ht="25" customHeight="1" x14ac:dyDescent="0.3">
      <c r="A4" s="105"/>
      <c r="B4" s="18" t="s">
        <v>31</v>
      </c>
      <c r="C4" s="11">
        <v>0</v>
      </c>
      <c r="D4" s="60">
        <v>3</v>
      </c>
      <c r="E4" s="60">
        <v>3</v>
      </c>
      <c r="F4" s="59">
        <v>65</v>
      </c>
      <c r="G4" s="30">
        <f t="shared" ref="G4:G22" si="0">(D4-C4)/(F4-C4)</f>
        <v>4.6153846153846156E-2</v>
      </c>
      <c r="H4" s="29">
        <v>1500</v>
      </c>
      <c r="I4" s="31">
        <f t="shared" ref="I4:I22" si="1">((D4-E4)/F4)*H4</f>
        <v>0</v>
      </c>
    </row>
    <row r="5" spans="1:12" ht="25" customHeight="1" x14ac:dyDescent="0.3">
      <c r="A5" s="105"/>
      <c r="B5" s="18" t="s">
        <v>14</v>
      </c>
      <c r="C5" s="11">
        <v>0</v>
      </c>
      <c r="D5" s="12">
        <v>2.7</v>
      </c>
      <c r="E5" s="12">
        <v>2.7</v>
      </c>
      <c r="F5" s="29">
        <v>38</v>
      </c>
      <c r="G5" s="30">
        <f t="shared" si="0"/>
        <v>7.1052631578947367E-2</v>
      </c>
      <c r="H5" s="29">
        <v>5500</v>
      </c>
      <c r="I5" s="31">
        <f t="shared" si="1"/>
        <v>0</v>
      </c>
      <c r="J5" s="1" t="s">
        <v>29</v>
      </c>
      <c r="K5" s="6">
        <v>44745</v>
      </c>
      <c r="L5" s="7">
        <v>0.6479166666666667</v>
      </c>
    </row>
    <row r="6" spans="1:12" s="39" customFormat="1" ht="5" customHeight="1" x14ac:dyDescent="0.3">
      <c r="A6" s="49"/>
      <c r="B6" s="63"/>
      <c r="C6" s="50"/>
      <c r="D6" s="51"/>
      <c r="E6" s="51"/>
      <c r="F6" s="52"/>
      <c r="G6" s="53"/>
      <c r="H6" s="52"/>
      <c r="I6" s="54"/>
      <c r="J6" s="36"/>
      <c r="K6" s="37"/>
      <c r="L6" s="38"/>
    </row>
    <row r="7" spans="1:12" ht="25" customHeight="1" x14ac:dyDescent="0.3">
      <c r="A7" s="106" t="s">
        <v>8</v>
      </c>
      <c r="B7" s="19" t="s">
        <v>15</v>
      </c>
      <c r="C7" s="11">
        <v>0</v>
      </c>
      <c r="D7" s="12">
        <v>0</v>
      </c>
      <c r="E7" s="12">
        <v>0</v>
      </c>
      <c r="F7" s="29">
        <v>8</v>
      </c>
      <c r="G7" s="30">
        <f t="shared" si="0"/>
        <v>0</v>
      </c>
      <c r="H7" s="29">
        <v>500</v>
      </c>
      <c r="I7" s="31">
        <f t="shared" si="1"/>
        <v>0</v>
      </c>
    </row>
    <row r="8" spans="1:12" ht="25" customHeight="1" x14ac:dyDescent="0.3">
      <c r="A8" s="106"/>
      <c r="B8" s="19" t="s">
        <v>16</v>
      </c>
      <c r="C8" s="11">
        <v>0</v>
      </c>
      <c r="D8" s="12">
        <v>0</v>
      </c>
      <c r="E8" s="12">
        <v>0</v>
      </c>
      <c r="F8" s="29">
        <v>38</v>
      </c>
      <c r="G8" s="30">
        <f t="shared" si="0"/>
        <v>0</v>
      </c>
      <c r="H8" s="29">
        <v>6000</v>
      </c>
      <c r="I8" s="31">
        <f t="shared" si="1"/>
        <v>0</v>
      </c>
      <c r="J8" s="1" t="s">
        <v>30</v>
      </c>
      <c r="K8" s="9"/>
      <c r="L8" s="10"/>
    </row>
    <row r="9" spans="1:12" s="39" customFormat="1" ht="5" customHeight="1" x14ac:dyDescent="0.3">
      <c r="A9" s="49"/>
      <c r="B9" s="55"/>
      <c r="C9" s="50"/>
      <c r="D9" s="51"/>
      <c r="E9" s="51"/>
      <c r="F9" s="52"/>
      <c r="G9" s="53"/>
      <c r="H9" s="52"/>
      <c r="I9" s="54"/>
      <c r="J9" s="36"/>
      <c r="K9" s="40"/>
      <c r="L9" s="41"/>
    </row>
    <row r="10" spans="1:12" ht="25" customHeight="1" x14ac:dyDescent="0.3">
      <c r="A10" s="107" t="s">
        <v>9</v>
      </c>
      <c r="B10" s="20" t="s">
        <v>17</v>
      </c>
      <c r="C10" s="11">
        <v>0</v>
      </c>
      <c r="D10" s="12">
        <v>0</v>
      </c>
      <c r="E10" s="12">
        <v>0</v>
      </c>
      <c r="F10" s="29">
        <v>12</v>
      </c>
      <c r="G10" s="30">
        <f t="shared" si="0"/>
        <v>0</v>
      </c>
      <c r="H10" s="29">
        <v>400</v>
      </c>
      <c r="I10" s="31">
        <f t="shared" si="1"/>
        <v>0</v>
      </c>
      <c r="K10" s="95"/>
      <c r="L10" s="95"/>
    </row>
    <row r="11" spans="1:12" ht="25" customHeight="1" x14ac:dyDescent="0.3">
      <c r="A11" s="107"/>
      <c r="B11" s="20" t="s">
        <v>18</v>
      </c>
      <c r="C11" s="11">
        <v>0</v>
      </c>
      <c r="D11" s="12">
        <v>0</v>
      </c>
      <c r="E11" s="12">
        <v>0</v>
      </c>
      <c r="F11" s="29">
        <v>31</v>
      </c>
      <c r="G11" s="30">
        <f t="shared" si="0"/>
        <v>0</v>
      </c>
      <c r="H11" s="29">
        <v>230</v>
      </c>
      <c r="I11" s="31">
        <f t="shared" si="1"/>
        <v>0</v>
      </c>
    </row>
    <row r="12" spans="1:12" s="39" customFormat="1" ht="5" customHeight="1" x14ac:dyDescent="0.3">
      <c r="A12" s="49"/>
      <c r="B12" s="56"/>
      <c r="C12" s="50"/>
      <c r="D12" s="51"/>
      <c r="E12" s="51"/>
      <c r="F12" s="52"/>
      <c r="G12" s="53"/>
      <c r="H12" s="52"/>
      <c r="I12" s="54"/>
    </row>
    <row r="13" spans="1:12" ht="25" customHeight="1" x14ac:dyDescent="0.3">
      <c r="A13" s="108" t="s">
        <v>19</v>
      </c>
      <c r="B13" s="21" t="s">
        <v>27</v>
      </c>
      <c r="C13" s="11">
        <v>0</v>
      </c>
      <c r="D13" s="12">
        <v>0</v>
      </c>
      <c r="E13" s="12">
        <v>0</v>
      </c>
      <c r="F13" s="29">
        <v>8</v>
      </c>
      <c r="G13" s="30">
        <f t="shared" si="0"/>
        <v>0</v>
      </c>
      <c r="H13" s="29">
        <v>550</v>
      </c>
      <c r="I13" s="31">
        <f t="shared" si="1"/>
        <v>0</v>
      </c>
    </row>
    <row r="14" spans="1:12" ht="25" customHeight="1" x14ac:dyDescent="0.3">
      <c r="A14" s="108"/>
      <c r="B14" s="21" t="s">
        <v>26</v>
      </c>
      <c r="C14" s="11">
        <v>91</v>
      </c>
      <c r="D14" s="12">
        <v>91</v>
      </c>
      <c r="E14" s="12">
        <v>91</v>
      </c>
      <c r="F14" s="29">
        <v>107</v>
      </c>
      <c r="G14" s="30">
        <f t="shared" si="0"/>
        <v>0</v>
      </c>
      <c r="H14" s="29">
        <v>500</v>
      </c>
      <c r="I14" s="31">
        <f t="shared" si="1"/>
        <v>0</v>
      </c>
    </row>
    <row r="15" spans="1:12" ht="25" customHeight="1" x14ac:dyDescent="0.3">
      <c r="A15" s="108"/>
      <c r="B15" s="21" t="s">
        <v>21</v>
      </c>
      <c r="C15" s="11">
        <v>0</v>
      </c>
      <c r="D15" s="12">
        <v>0</v>
      </c>
      <c r="E15" s="12">
        <v>0</v>
      </c>
      <c r="F15" s="29">
        <v>28</v>
      </c>
      <c r="G15" s="30">
        <f t="shared" si="0"/>
        <v>0</v>
      </c>
      <c r="H15" s="29">
        <v>2700</v>
      </c>
      <c r="I15" s="31">
        <f t="shared" si="1"/>
        <v>0</v>
      </c>
    </row>
    <row r="16" spans="1:12" s="39" customFormat="1" ht="5" customHeight="1" x14ac:dyDescent="0.3">
      <c r="A16" s="49"/>
      <c r="B16" s="57"/>
      <c r="C16" s="50"/>
      <c r="D16" s="51"/>
      <c r="E16" s="51"/>
      <c r="F16" s="52"/>
      <c r="G16" s="53"/>
      <c r="H16" s="52"/>
      <c r="I16" s="54"/>
    </row>
    <row r="17" spans="1:9" ht="25" customHeight="1" x14ac:dyDescent="0.3">
      <c r="A17" s="109" t="s">
        <v>22</v>
      </c>
      <c r="B17" s="22" t="s">
        <v>23</v>
      </c>
      <c r="C17" s="11">
        <v>0</v>
      </c>
      <c r="D17" s="12">
        <v>4.0999999999999996</v>
      </c>
      <c r="E17" s="12">
        <v>4.0999999999999996</v>
      </c>
      <c r="F17" s="29">
        <v>28</v>
      </c>
      <c r="G17" s="30">
        <f t="shared" si="0"/>
        <v>0.14642857142857141</v>
      </c>
      <c r="H17" s="29">
        <v>2500</v>
      </c>
      <c r="I17" s="31">
        <f t="shared" si="1"/>
        <v>0</v>
      </c>
    </row>
    <row r="18" spans="1:9" ht="25" customHeight="1" x14ac:dyDescent="0.3">
      <c r="A18" s="109" t="s">
        <v>22</v>
      </c>
      <c r="B18" s="22" t="s">
        <v>20</v>
      </c>
      <c r="C18" s="11">
        <v>0</v>
      </c>
      <c r="D18" s="12">
        <v>1</v>
      </c>
      <c r="E18" s="12">
        <v>0</v>
      </c>
      <c r="F18" s="29">
        <v>8</v>
      </c>
      <c r="G18" s="30">
        <f t="shared" si="0"/>
        <v>0.125</v>
      </c>
      <c r="H18" s="29">
        <v>450</v>
      </c>
      <c r="I18" s="31">
        <f t="shared" si="1"/>
        <v>56.25</v>
      </c>
    </row>
    <row r="19" spans="1:9" s="39" customFormat="1" ht="5" customHeight="1" x14ac:dyDescent="0.3">
      <c r="A19" s="49"/>
      <c r="B19" s="58"/>
      <c r="C19" s="50"/>
      <c r="D19" s="51"/>
      <c r="E19" s="51"/>
      <c r="F19" s="52"/>
      <c r="G19" s="53"/>
      <c r="H19" s="52"/>
      <c r="I19" s="54"/>
    </row>
    <row r="20" spans="1:9" ht="25" customHeight="1" x14ac:dyDescent="0.3">
      <c r="A20" s="103" t="s">
        <v>24</v>
      </c>
      <c r="B20" s="23" t="s">
        <v>25</v>
      </c>
      <c r="C20" s="11">
        <v>72</v>
      </c>
      <c r="D20" s="12">
        <v>72</v>
      </c>
      <c r="E20" s="12">
        <v>72</v>
      </c>
      <c r="F20" s="29">
        <v>103</v>
      </c>
      <c r="G20" s="30">
        <f t="shared" si="0"/>
        <v>0</v>
      </c>
      <c r="H20" s="29">
        <v>630</v>
      </c>
      <c r="I20" s="31">
        <f t="shared" si="1"/>
        <v>0</v>
      </c>
    </row>
    <row r="21" spans="1:9" ht="25" customHeight="1" x14ac:dyDescent="0.3">
      <c r="A21" s="103"/>
      <c r="B21" s="23" t="s">
        <v>20</v>
      </c>
      <c r="C21" s="11">
        <v>0</v>
      </c>
      <c r="D21" s="12">
        <v>0</v>
      </c>
      <c r="E21" s="12">
        <v>0</v>
      </c>
      <c r="F21" s="29">
        <v>8</v>
      </c>
      <c r="G21" s="30">
        <f t="shared" si="0"/>
        <v>0</v>
      </c>
      <c r="H21" s="29">
        <v>450</v>
      </c>
      <c r="I21" s="31">
        <f t="shared" si="1"/>
        <v>0</v>
      </c>
    </row>
    <row r="22" spans="1:9" ht="25" customHeight="1" x14ac:dyDescent="0.3">
      <c r="A22" s="104"/>
      <c r="B22" s="24" t="s">
        <v>23</v>
      </c>
      <c r="C22" s="13">
        <v>0</v>
      </c>
      <c r="D22" s="14">
        <v>0</v>
      </c>
      <c r="E22" s="14">
        <v>0</v>
      </c>
      <c r="F22" s="32">
        <v>28</v>
      </c>
      <c r="G22" s="33">
        <f t="shared" si="0"/>
        <v>0</v>
      </c>
      <c r="H22" s="32">
        <v>2300</v>
      </c>
      <c r="I22" s="34">
        <f t="shared" si="1"/>
        <v>0</v>
      </c>
    </row>
    <row r="23" spans="1:9" s="39" customFormat="1" ht="5" customHeight="1" x14ac:dyDescent="0.3">
      <c r="A23" s="42"/>
      <c r="B23" s="43"/>
      <c r="C23" s="44"/>
      <c r="D23" s="45"/>
      <c r="E23" s="45"/>
      <c r="F23" s="46"/>
      <c r="G23" s="47"/>
      <c r="H23" s="46"/>
      <c r="I23" s="48"/>
    </row>
  </sheetData>
  <mergeCells count="8">
    <mergeCell ref="A20:A22"/>
    <mergeCell ref="K10:L10"/>
    <mergeCell ref="A3:A5"/>
    <mergeCell ref="A7:A8"/>
    <mergeCell ref="A10:A11"/>
    <mergeCell ref="K2:L3"/>
    <mergeCell ref="A13:A15"/>
    <mergeCell ref="A17:A18"/>
  </mergeCells>
  <phoneticPr fontId="1" type="noConversion"/>
  <conditionalFormatting sqref="G3:G23">
    <cfRule type="dataBar" priority="6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{73915BA5-C60D-49A1-9906-A9764F06642F}</x14:id>
        </ext>
      </extLst>
    </cfRule>
  </conditionalFormatting>
  <conditionalFormatting sqref="G13:G16">
    <cfRule type="dataBar" priority="3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{4C0F7838-BA28-4A6C-B0F2-7B36475B7073}</x14:id>
        </ext>
      </extLst>
    </cfRule>
  </conditionalFormatting>
  <conditionalFormatting sqref="G17:G19">
    <cfRule type="dataBar" priority="2">
      <dataBar>
        <cfvo type="num" val="0"/>
        <cfvo type="num" val="1"/>
        <color rgb="FFDCC5ED"/>
      </dataBar>
      <extLst>
        <ext xmlns:x14="http://schemas.microsoft.com/office/spreadsheetml/2009/9/main" uri="{B025F937-C7B1-47D3-B67F-A62EFF666E3E}">
          <x14:id>{2B21B17F-B721-49E4-BA4B-06B11433E7BF}</x14:id>
        </ext>
      </extLst>
    </cfRule>
  </conditionalFormatting>
  <conditionalFormatting sqref="G20:G23">
    <cfRule type="dataBar" priority="1">
      <dataBar>
        <cfvo type="num" val="0"/>
        <cfvo type="num" val="1"/>
        <color rgb="FFD1F9F7"/>
      </dataBar>
      <extLst>
        <ext xmlns:x14="http://schemas.microsoft.com/office/spreadsheetml/2009/9/main" uri="{B025F937-C7B1-47D3-B67F-A62EFF666E3E}">
          <x14:id>{819CA8B9-8631-4F88-A08A-0D6CC16C46F3}</x14:id>
        </ext>
      </extLst>
    </cfRule>
  </conditionalFormatting>
  <pageMargins left="0.7" right="0.7" top="0.75" bottom="0.75" header="0.3" footer="0.3"/>
  <pageSetup paperSize="9" scale="59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915BA5-C60D-49A1-9906-A9764F0664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G3:G23</xm:sqref>
        </x14:conditionalFormatting>
        <x14:conditionalFormatting xmlns:xm="http://schemas.microsoft.com/office/excel/2006/main">
          <x14:cfRule type="dataBar" id="{4C0F7838-BA28-4A6C-B0F2-7B36475B70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G13:G16</xm:sqref>
        </x14:conditionalFormatting>
        <x14:conditionalFormatting xmlns:xm="http://schemas.microsoft.com/office/excel/2006/main">
          <x14:cfRule type="dataBar" id="{2B21B17F-B721-49E4-BA4B-06B11433E7B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G17:G19</xm:sqref>
        </x14:conditionalFormatting>
        <x14:conditionalFormatting xmlns:xm="http://schemas.microsoft.com/office/excel/2006/main">
          <x14:cfRule type="dataBar" id="{819CA8B9-8631-4F88-A08A-0D6CC16C46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G20:G23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12425E8E6BB814DAB00BC82E95A2980" ma:contentTypeVersion="11" ma:contentTypeDescription="Create a new document." ma:contentTypeScope="" ma:versionID="6dfc15b50aafe030931f4eda71aa1fde">
  <xsd:schema xmlns:xsd="http://www.w3.org/2001/XMLSchema" xmlns:xs="http://www.w3.org/2001/XMLSchema" xmlns:p="http://schemas.microsoft.com/office/2006/metadata/properties" xmlns:ns3="1582d156-29f3-43bd-8385-dd95fae89446" targetNamespace="http://schemas.microsoft.com/office/2006/metadata/properties" ma:root="true" ma:fieldsID="f9a53f511ca82df71d70e06269b8342c" ns3:_="">
    <xsd:import namespace="1582d156-29f3-43bd-8385-dd95fae8944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82d156-29f3-43bd-8385-dd95fae8944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18E5B05-6876-4316-AF02-DE5C16DDBF8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20634C-9572-40BE-A1AC-04D0C0B31F2A}">
  <ds:schemaRefs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openxmlformats.org/package/2006/metadata/core-properties"/>
    <ds:schemaRef ds:uri="1582d156-29f3-43bd-8385-dd95fae89446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1FF2695-977E-4541-A089-746AD5AFB3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582d156-29f3-43bd-8385-dd95fae8944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7.10</vt:lpstr>
      <vt:lpstr>7.9</vt:lpstr>
      <vt:lpstr>7.8</vt:lpstr>
      <vt:lpstr>7.7</vt:lpstr>
      <vt:lpstr>7.6</vt:lpstr>
      <vt:lpstr>7.5</vt:lpstr>
      <vt:lpstr>7.4</vt:lpstr>
      <vt:lpstr>7.3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Mao</dc:creator>
  <cp:lastModifiedBy>Kyle Mao</cp:lastModifiedBy>
  <cp:lastPrinted>2022-07-08T13:08:37Z</cp:lastPrinted>
  <dcterms:created xsi:type="dcterms:W3CDTF">2022-07-03T03:09:30Z</dcterms:created>
  <dcterms:modified xsi:type="dcterms:W3CDTF">2022-07-10T02:47:24Z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0x010100412425E8E6BB814DAB00BC82E95A2980</vt:lpwstr>
  </property>
</Properties>
</file>